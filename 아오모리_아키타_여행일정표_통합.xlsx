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예산요약" sheetId="1" state="visible" r:id="rId3"/>
    <sheet name="가계부" sheetId="2" state="visible" r:id="rId4"/>
    <sheet name="일정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<sst xmlns="http://schemas.openxmlformats.org/spreadsheetml/2006/main" count="344" uniqueCount="243">
  <si>
    <t xml:space="preserve">항목</t>
  </si>
  <si>
    <t xml:space="preserve">금액</t>
  </si>
  <si>
    <t xml:space="preserve">비고</t>
  </si>
  <si>
    <r>
      <rPr>
        <b val="true"/>
        <sz val="10"/>
        <rFont val="Noto Sans CJK SC"/>
        <family val="2"/>
      </rPr>
      <t xml:space="preserve">항공권 </t>
    </r>
    <r>
      <rPr>
        <b val="true"/>
        <sz val="10"/>
        <rFont val="Arial"/>
        <family val="0"/>
        <charset val="1"/>
      </rPr>
      <t xml:space="preserve">(2</t>
    </r>
    <r>
      <rPr>
        <b val="true"/>
        <sz val="10"/>
        <rFont val="Noto Sans CJK SC"/>
        <family val="2"/>
      </rPr>
      <t xml:space="preserve">인 왕복</t>
    </r>
    <r>
      <rPr>
        <b val="true"/>
        <sz val="10"/>
        <rFont val="Arial"/>
        <family val="0"/>
        <charset val="1"/>
      </rPr>
      <t xml:space="preserve">, KE2193/KE2194)</t>
    </r>
  </si>
  <si>
    <r>
      <rPr>
        <i val="true"/>
        <sz val="9"/>
        <color rgb="FF595959"/>
        <rFont val="Noto Sans CJK SC"/>
        <family val="2"/>
      </rPr>
      <t xml:space="preserve">예약 확정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</si>
  <si>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가계부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엔</t>
    </r>
    <r>
      <rPr>
        <b val="true"/>
        <sz val="10"/>
        <rFont val="Arial"/>
        <family val="0"/>
        <charset val="1"/>
      </rPr>
      <t xml:space="preserve">, 2</t>
    </r>
    <r>
      <rPr>
        <b val="true"/>
        <sz val="10"/>
        <rFont val="Noto Sans CJK SC"/>
        <family val="2"/>
      </rPr>
      <t xml:space="preserve">인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</si>
  <si>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주차비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입탕세 등 계획외 항목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참고용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</si>
  <si>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환율 적용 </t>
    </r>
    <r>
      <rPr>
        <b val="true"/>
        <sz val="10"/>
        <rFont val="Arial"/>
        <family val="0"/>
        <charset val="1"/>
      </rPr>
      <t xml:space="preserve">(100</t>
    </r>
    <r>
      <rPr>
        <b val="true"/>
        <sz val="10"/>
        <rFont val="Noto Sans CJK SC"/>
        <family val="2"/>
      </rPr>
      <t xml:space="preserve">엔</t>
    </r>
    <r>
      <rPr>
        <b val="true"/>
        <sz val="10"/>
        <rFont val="Arial"/>
        <family val="0"/>
        <charset val="1"/>
      </rPr>
      <t xml:space="preserve">=890</t>
    </r>
    <r>
      <rPr>
        <b val="true"/>
        <sz val="10"/>
        <rFont val="Noto Sans CJK SC"/>
        <family val="2"/>
      </rPr>
      <t xml:space="preserve">원 가정</t>
    </r>
    <r>
      <rPr>
        <b val="true"/>
        <sz val="10"/>
        <rFont val="Arial"/>
        <family val="0"/>
        <charset val="1"/>
      </rPr>
      <t xml:space="preserve">)</t>
    </r>
  </si>
  <si>
    <t xml:space="preserve">실제 환율로 재조정 가능</t>
  </si>
  <si>
    <r>
      <rPr>
        <b val="true"/>
        <sz val="11"/>
        <rFont val="Noto Sans CJK SC"/>
        <family val="2"/>
      </rPr>
      <t xml:space="preserve">총 예산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, 2</t>
    </r>
    <r>
      <rPr>
        <b val="true"/>
        <sz val="11"/>
        <rFont val="Noto Sans CJK SC"/>
        <family val="2"/>
      </rPr>
      <t xml:space="preserve">인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</si>
  <si>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웹사이트</t>
    </r>
    <r>
      <rPr>
        <b val="true"/>
        <sz val="11"/>
        <rFont val="Arial"/>
        <family val="0"/>
        <charset val="1"/>
      </rPr>
      <t xml:space="preserve">(data.json)</t>
    </r>
    <r>
      <rPr>
        <b val="true"/>
        <sz val="11"/>
        <rFont val="Noto Sans CJK SC"/>
        <family val="2"/>
      </rPr>
      <t xml:space="preserve">에 기록된 검증된 총액 — 항공권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숙소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식사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관광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렌트카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가계부 등 전부 포함</t>
    </r>
  </si>
  <si>
    <r>
      <rPr>
        <b val="true"/>
        <sz val="11"/>
        <rFont val="Noto Sans CJK SC"/>
        <family val="2"/>
      </rPr>
      <t xml:space="preserve">총 예산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, 1</t>
    </r>
    <r>
      <rPr>
        <b val="true"/>
        <sz val="11"/>
        <rFont val="Noto Sans CJK SC"/>
        <family val="2"/>
      </rPr>
      <t xml:space="preserve">인</t>
    </r>
    <r>
      <rPr>
        <b val="true"/>
        <sz val="11"/>
        <rFont val="Arial"/>
        <family val="0"/>
        <charset val="1"/>
      </rPr>
      <t xml:space="preserve">)</t>
    </r>
  </si>
  <si>
    <t xml:space="preserve">-</t>
  </si>
  <si>
    <r>
      <rPr>
        <i val="true"/>
        <sz val="9"/>
        <color rgb="FF595959"/>
        <rFont val="Noto Sans CJK SC"/>
        <family val="2"/>
      </rPr>
      <t xml:space="preserve">※ 이 워크북은 </t>
    </r>
    <r>
      <rPr>
        <i val="true"/>
        <sz val="9"/>
        <color rgb="FF595959"/>
        <rFont val="Arial"/>
        <family val="0"/>
        <charset val="1"/>
      </rPr>
      <t xml:space="preserve">data.json</t>
    </r>
    <r>
      <rPr>
        <i val="true"/>
        <sz val="9"/>
        <color rgb="FF595959"/>
        <rFont val="Noto Sans CJK SC"/>
        <family val="2"/>
      </rPr>
      <t xml:space="preserve">으로부터 자동 생성되었습니다 — 실제 일정 수정은 관리자 페이지</t>
    </r>
    <r>
      <rPr>
        <i val="true"/>
        <sz val="9"/>
        <color rgb="FF595959"/>
        <rFont val="Arial"/>
        <family val="0"/>
        <charset val="1"/>
      </rPr>
      <t xml:space="preserve">(admin.html)</t>
    </r>
    <r>
      <rPr>
        <i val="true"/>
        <sz val="9"/>
        <color rgb="FF595959"/>
        <rFont val="Noto Sans CJK SC"/>
        <family val="2"/>
      </rPr>
      <t xml:space="preserve">에서 하고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이 파일이 필요할 때마다 다시 생성해주세요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</si>
  <si>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생성 기준 시각</t>
    </r>
    <r>
      <rPr>
        <i val="true"/>
        <sz val="9"/>
        <color rgb="FF595959"/>
        <rFont val="Arial"/>
        <family val="0"/>
        <charset val="1"/>
      </rPr>
      <t xml:space="preserve">: 2026-07-29T12:00:04.469Z</t>
    </r>
  </si>
  <si>
    <t xml:space="preserve">항목명</t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</si>
  <si>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</si>
  <si>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아오모리 </t>
    </r>
    <r>
      <rPr>
        <sz val="10"/>
        <rFont val="Arial"/>
        <family val="0"/>
        <charset val="1"/>
      </rPr>
      <t xml:space="preserve">JAL</t>
    </r>
    <r>
      <rPr>
        <sz val="10"/>
        <rFont val="Noto Sans CJK SC"/>
        <family val="2"/>
      </rPr>
      <t xml:space="preserve">시티 호텔 주차비</t>
    </r>
  </si>
  <si>
    <t xml:space="preserve">하치노헤 컴포트호텔 주차비</t>
  </si>
  <si>
    <t xml:space="preserve">아키타 리치몬드호텔 주차비</t>
  </si>
  <si>
    <t xml:space="preserve">히로사키 도미인 주차비</t>
  </si>
  <si>
    <r>
      <rPr>
        <sz val="10"/>
        <rFont val="Noto Sans CJK SC"/>
        <family val="2"/>
      </rPr>
      <t xml:space="preserve">다자와코 레이크리조트 입탕세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인당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엔</t>
    </r>
    <r>
      <rPr>
        <sz val="10"/>
        <rFont val="Arial"/>
        <family val="0"/>
        <charset val="1"/>
      </rPr>
      <t xml:space="preserve">×2)</t>
    </r>
  </si>
  <si>
    <t xml:space="preserve">가계부 합계</t>
  </si>
  <si>
    <t xml:space="preserve">No</t>
  </si>
  <si>
    <t xml:space="preserve">일자</t>
  </si>
  <si>
    <t xml:space="preserve">요일</t>
  </si>
  <si>
    <t xml:space="preserve">시간대</t>
  </si>
  <si>
    <t xml:space="preserve">카테고리</t>
  </si>
  <si>
    <r>
      <rPr>
        <b val="true"/>
        <sz val="10"/>
        <color rgb="FFFFFFFF"/>
        <rFont val="Noto Sans CJK SC"/>
        <family val="2"/>
      </rPr>
      <t xml:space="preserve">구간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내용</t>
    </r>
  </si>
  <si>
    <t xml:space="preserve">장소</t>
  </si>
  <si>
    <r>
      <rPr>
        <b val="true"/>
        <sz val="10"/>
        <color rgb="FFFFFFFF"/>
        <rFont val="Noto Sans CJK SC"/>
        <family val="2"/>
      </rPr>
      <t xml:space="preserve">예상비용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엔 환산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</si>
  <si>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실제비용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</si>
  <si>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전화번호</t>
  </si>
  <si>
    <t xml:space="preserve">구글맵 검색어</t>
  </si>
  <si>
    <t xml:space="preserve">메모</t>
  </si>
  <si>
    <t xml:space="preserve">상태</t>
  </si>
  <si>
    <t xml:space="preserve">8/21</t>
  </si>
  <si>
    <t xml:space="preserve">금</t>
  </si>
  <si>
    <t xml:space="preserve">09:05</t>
  </si>
  <si>
    <t xml:space="preserve">이동</t>
  </si>
  <si>
    <r>
      <rPr>
        <sz val="9"/>
        <rFont val="Arial"/>
        <family val="0"/>
        <charset val="1"/>
      </rPr>
      <t xml:space="preserve">KE2193 </t>
    </r>
    <r>
      <rPr>
        <sz val="9"/>
        <rFont val="Noto Sans CJK SC"/>
        <family val="2"/>
      </rPr>
      <t xml:space="preserve">탑승 </t>
    </r>
    <r>
      <rPr>
        <sz val="9"/>
        <rFont val="Arial"/>
        <family val="0"/>
        <charset val="1"/>
      </rPr>
      <t xml:space="preserve">(ICN → AOJ)</t>
    </r>
  </si>
  <si>
    <t xml:space="preserve">2H30M</t>
  </si>
  <si>
    <t xml:space="preserve">11:35</t>
  </si>
  <si>
    <r>
      <rPr>
        <sz val="9"/>
        <rFont val="Noto Sans CJK SC"/>
        <family val="2"/>
      </rPr>
      <t xml:space="preserve">아오모리공항 도착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입국심사</t>
    </r>
  </si>
  <si>
    <t xml:space="preserve">수하물 수령</t>
  </si>
  <si>
    <t xml:space="preserve">12:00~13:00</t>
  </si>
  <si>
    <t xml:space="preserve">렌트카</t>
  </si>
  <si>
    <t xml:space="preserve">렌트카 픽업</t>
  </si>
  <si>
    <r>
      <rPr>
        <sz val="9"/>
        <rFont val="Arial"/>
        <family val="0"/>
        <charset val="1"/>
      </rPr>
      <t xml:space="preserve">Nippon Rent-A-Car · </t>
    </r>
    <r>
      <rPr>
        <sz val="9"/>
        <rFont val="Noto Sans CJK SC"/>
        <family val="2"/>
      </rPr>
      <t xml:space="preserve">아오모리공항</t>
    </r>
  </si>
  <si>
    <t xml:space="preserve">アオモリ空港 レンタカーカウンター</t>
  </si>
  <si>
    <r>
      <rPr>
        <sz val="9"/>
        <rFont val="Noto Sans CJK SC"/>
        <family val="2"/>
      </rPr>
      <t xml:space="preserve">예약번호 </t>
    </r>
    <r>
      <rPr>
        <sz val="9"/>
        <rFont val="Arial"/>
        <family val="0"/>
        <charset val="1"/>
      </rPr>
      <t xml:space="preserve">RC72461246535486149 / </t>
    </r>
    <r>
      <rPr>
        <sz val="9"/>
        <rFont val="Noto Sans CJK SC"/>
        <family val="2"/>
      </rPr>
      <t xml:space="preserve">확인키 </t>
    </r>
    <r>
      <rPr>
        <sz val="9"/>
        <rFont val="Arial"/>
        <family val="0"/>
        <charset val="1"/>
      </rPr>
      <t xml:space="preserve">iIPBi63F · </t>
    </r>
    <r>
      <rPr>
        <sz val="9"/>
        <rFont val="Noto Sans CJK SC"/>
        <family val="2"/>
      </rPr>
      <t xml:space="preserve">착륙 </t>
    </r>
    <r>
      <rPr>
        <sz val="9"/>
        <rFont val="Arial"/>
        <family val="0"/>
        <charset val="1"/>
      </rPr>
      <t xml:space="preserve">11:35→</t>
    </r>
    <r>
      <rPr>
        <sz val="9"/>
        <rFont val="Noto Sans CJK SC"/>
        <family val="2"/>
      </rPr>
      <t xml:space="preserve">픽업 </t>
    </r>
    <r>
      <rPr>
        <sz val="9"/>
        <rFont val="Arial"/>
        <family val="0"/>
        <charset val="1"/>
      </rPr>
      <t xml:space="preserve">12:00 </t>
    </r>
    <r>
      <rPr>
        <sz val="9"/>
        <rFont val="Noto Sans CJK SC"/>
        <family val="2"/>
      </rPr>
      <t xml:space="preserve">약 </t>
    </r>
    <r>
      <rPr>
        <sz val="9"/>
        <rFont val="Arial"/>
        <family val="0"/>
        <charset val="1"/>
      </rPr>
      <t xml:space="preserve">25</t>
    </r>
    <r>
      <rPr>
        <sz val="9"/>
        <rFont val="Noto Sans CJK SC"/>
        <family val="2"/>
      </rPr>
      <t xml:space="preserve">분</t>
    </r>
  </si>
  <si>
    <t xml:space="preserve">확정</t>
  </si>
  <si>
    <t xml:space="preserve">13:00~14:00</t>
  </si>
  <si>
    <r>
      <rPr>
        <sz val="9"/>
        <rFont val="Noto Sans CJK SC"/>
        <family val="2"/>
      </rPr>
      <t xml:space="preserve">아오모리 시내 이동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호텔 체크인</t>
    </r>
  </si>
  <si>
    <t xml:space="preserve">14:20~15:30</t>
  </si>
  <si>
    <t xml:space="preserve">식사</t>
  </si>
  <si>
    <t xml:space="preserve">점심</t>
  </si>
  <si>
    <t xml:space="preserve">장소 미정</t>
  </si>
  <si>
    <t xml:space="preserve">青森市 ランチ</t>
  </si>
  <si>
    <t xml:space="preserve">미정</t>
  </si>
  <si>
    <t xml:space="preserve">15:50~17:00</t>
  </si>
  <si>
    <t xml:space="preserve">관광</t>
  </si>
  <si>
    <t xml:space="preserve">네부타노무라 와랏세</t>
  </si>
  <si>
    <t xml:space="preserve">ねぶたの家 ワ・ラッセ</t>
  </si>
  <si>
    <t xml:space="preserve">ねぶたの家 ワ・ラッセ 青森市</t>
  </si>
  <si>
    <t xml:space="preserve">17:00~18:30</t>
  </si>
  <si>
    <r>
      <rPr>
        <sz val="9"/>
        <rFont val="Noto Sans CJK SC"/>
        <family val="2"/>
      </rPr>
      <t xml:space="preserve">아스팜</t>
    </r>
    <r>
      <rPr>
        <sz val="9"/>
        <rFont val="Arial"/>
        <family val="0"/>
        <charset val="1"/>
      </rPr>
      <t xml:space="preserve">(ASPAM) </t>
    </r>
    <r>
      <rPr>
        <sz val="9"/>
        <rFont val="Noto Sans CJK SC"/>
        <family val="2"/>
      </rPr>
      <t xml:space="preserve">구경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전망대</t>
    </r>
  </si>
  <si>
    <r>
      <rPr>
        <sz val="9"/>
        <rFont val="Noto Sans CJK SC"/>
        <family val="2"/>
      </rPr>
      <t xml:space="preserve">아오모리현 관광물산관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와랏세 도보권</t>
    </r>
  </si>
  <si>
    <t xml:space="preserve">青森県観光物産館アスパム</t>
  </si>
  <si>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층 전망대 </t>
    </r>
    <r>
      <rPr>
        <sz val="9"/>
        <rFont val="Arial"/>
        <family val="0"/>
        <charset val="1"/>
      </rPr>
      <t xml:space="preserve">400</t>
    </r>
    <r>
      <rPr>
        <sz val="9"/>
        <rFont val="Noto Sans CJK SC"/>
        <family val="2"/>
      </rPr>
      <t xml:space="preserve">엔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인</t>
    </r>
    <r>
      <rPr>
        <sz val="9"/>
        <rFont val="Arial"/>
        <family val="0"/>
        <charset val="1"/>
      </rPr>
      <t xml:space="preserve">, 360</t>
    </r>
    <r>
      <rPr>
        <sz val="9"/>
        <rFont val="Noto Sans CJK SC"/>
        <family val="2"/>
      </rPr>
      <t xml:space="preserve">도 조망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날씨 좋으면 홋카이도 하코다테까지 보임</t>
    </r>
    <r>
      <rPr>
        <sz val="9"/>
        <rFont val="Arial"/>
        <family val="0"/>
        <charset val="1"/>
      </rPr>
      <t xml:space="preserve">). </t>
    </r>
    <r>
      <rPr>
        <sz val="9"/>
        <rFont val="Noto Sans CJK SC"/>
        <family val="2"/>
      </rPr>
      <t xml:space="preserve">기본 입장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층 특산품매장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무료</t>
    </r>
  </si>
  <si>
    <t xml:space="preserve">19:00~21:00</t>
  </si>
  <si>
    <t xml:space="preserve">저녁 이자카야</t>
  </si>
  <si>
    <t xml:space="preserve">미정 — 미쓰이시 예약 취소됨</t>
  </si>
  <si>
    <t xml:space="preserve">青森市 居酒屋</t>
  </si>
  <si>
    <t xml:space="preserve">21:30~</t>
  </si>
  <si>
    <t xml:space="preserve">숙소</t>
  </si>
  <si>
    <r>
      <rPr>
        <sz val="9"/>
        <rFont val="Noto Sans CJK SC"/>
        <family val="2"/>
      </rPr>
      <t xml:space="preserve">호텔 </t>
    </r>
    <r>
      <rPr>
        <sz val="9"/>
        <rFont val="Arial"/>
        <family val="0"/>
        <charset val="1"/>
      </rPr>
      <t xml:space="preserve">JAL</t>
    </r>
    <r>
      <rPr>
        <sz val="9"/>
        <rFont val="Noto Sans CJK SC"/>
        <family val="2"/>
      </rPr>
      <t xml:space="preserve">시티 아오모리</t>
    </r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</si>
  <si>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박</t>
    </r>
  </si>
  <si>
    <t xml:space="preserve">017-732-2580</t>
  </si>
  <si>
    <r>
      <rPr>
        <sz val="9"/>
        <rFont val="Noto Sans CJK SC"/>
        <family val="2"/>
      </rPr>
      <t xml:space="preserve">ホテル</t>
    </r>
    <r>
      <rPr>
        <sz val="9"/>
        <rFont val="Arial"/>
        <family val="0"/>
        <charset val="1"/>
      </rPr>
      <t xml:space="preserve">JAL</t>
    </r>
    <r>
      <rPr>
        <sz val="9"/>
        <rFont val="Noto Sans CJK SC"/>
        <family val="2"/>
      </rPr>
      <t xml:space="preserve">シティ青森</t>
    </r>
  </si>
  <si>
    <r>
      <rPr>
        <sz val="9"/>
        <rFont val="Noto Sans CJK SC"/>
        <family val="2"/>
      </rPr>
      <t xml:space="preserve">예약확정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아고다</t>
    </r>
    <r>
      <rPr>
        <sz val="9"/>
        <rFont val="Arial"/>
        <family val="0"/>
        <charset val="1"/>
      </rPr>
      <t xml:space="preserve">, 8/18 </t>
    </r>
    <r>
      <rPr>
        <sz val="9"/>
        <rFont val="Noto Sans CJK SC"/>
        <family val="2"/>
      </rPr>
      <t xml:space="preserve">자동결제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맵코드 </t>
    </r>
    <r>
      <rPr>
        <sz val="9"/>
        <rFont val="Arial"/>
        <family val="0"/>
        <charset val="1"/>
      </rPr>
      <t xml:space="preserve">99 554 878*03</t>
    </r>
  </si>
  <si>
    <r>
      <rPr>
        <b val="true"/>
        <sz val="9"/>
        <rFont val="Arial"/>
        <family val="0"/>
        <charset val="1"/>
      </rPr>
      <t xml:space="preserve">8/21 </t>
    </r>
    <r>
      <rPr>
        <b val="true"/>
        <sz val="9"/>
        <rFont val="Noto Sans CJK SC"/>
        <family val="2"/>
      </rPr>
      <t xml:space="preserve">소계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참고용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Noto Sans CJK SC"/>
        <family val="2"/>
      </rPr>
      <t xml:space="preserve">아오모리 도착</t>
    </r>
    <r>
      <rPr>
        <b val="true"/>
        <sz val="9"/>
        <rFont val="Arial"/>
        <family val="0"/>
        <charset val="1"/>
      </rPr>
      <t xml:space="preserve">)</t>
    </r>
  </si>
  <si>
    <t xml:space="preserve">8/22</t>
  </si>
  <si>
    <t xml:space="preserve">토</t>
  </si>
  <si>
    <t xml:space="preserve">09:00~10:00</t>
  </si>
  <si>
    <t xml:space="preserve">아오모리 → 핫코다산</t>
  </si>
  <si>
    <r>
      <rPr>
        <sz val="9"/>
        <rFont val="Noto Sans CJK SC"/>
        <family val="2"/>
      </rPr>
      <t xml:space="preserve">렌트카 약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시간</t>
    </r>
  </si>
  <si>
    <t xml:space="preserve">10:00~11:00</t>
  </si>
  <si>
    <t xml:space="preserve">핫코다 로프웨이 왕복</t>
  </si>
  <si>
    <t xml:space="preserve">다시로타이라 습원</t>
  </si>
  <si>
    <t xml:space="preserve">八甲田ロープウェー 青森県</t>
  </si>
  <si>
    <r>
      <rPr>
        <sz val="9"/>
        <rFont val="Noto Sans CJK SC"/>
        <family val="2"/>
      </rPr>
      <t xml:space="preserve">여름 야생화 절정 시기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산 위는 도심보다 선선함</t>
    </r>
  </si>
  <si>
    <t xml:space="preserve">11:00~13:00</t>
  </si>
  <si>
    <t xml:space="preserve">핫코다 → 오이라세 계류 → 도와다호</t>
  </si>
  <si>
    <r>
      <rPr>
        <sz val="9"/>
        <rFont val="Noto Sans CJK SC"/>
        <family val="2"/>
      </rPr>
      <t xml:space="preserve">약 </t>
    </r>
    <r>
      <rPr>
        <sz val="9"/>
        <rFont val="Arial"/>
        <family val="0"/>
        <charset val="1"/>
      </rPr>
      <t xml:space="preserve">1.5</t>
    </r>
    <r>
      <rPr>
        <sz val="9"/>
        <rFont val="Noto Sans CJK SC"/>
        <family val="2"/>
      </rPr>
      <t xml:space="preserve">시간</t>
    </r>
  </si>
  <si>
    <t xml:space="preserve">13:15~14:05</t>
  </si>
  <si>
    <t xml:space="preserve">도와다호 유람선</t>
  </si>
  <si>
    <t xml:space="preserve">야스미야 선착장</t>
  </si>
  <si>
    <t xml:space="preserve">0176-75-2909</t>
  </si>
  <si>
    <t xml:space="preserve">十和田湖 遊覧船 休屋</t>
  </si>
  <si>
    <r>
      <rPr>
        <sz val="9"/>
        <rFont val="Noto Sans CJK SC"/>
        <family val="2"/>
      </rPr>
      <t xml:space="preserve">물 위라 더위 식히기 좋음</t>
    </r>
    <r>
      <rPr>
        <sz val="9"/>
        <rFont val="Arial"/>
        <family val="0"/>
        <charset val="1"/>
      </rPr>
      <t xml:space="preserve">. https://www.toutetsu.co.jp/ship.html</t>
    </r>
  </si>
  <si>
    <t xml:space="preserve">14:20~15:20</t>
  </si>
  <si>
    <t xml:space="preserve">점심 — 히메마스 식당가</t>
  </si>
  <si>
    <t xml:space="preserve">도와다호 인근</t>
  </si>
  <si>
    <t xml:space="preserve">十和田湖 ヒメマス 食堂</t>
  </si>
  <si>
    <t xml:space="preserve">15:30~17:00</t>
  </si>
  <si>
    <t xml:space="preserve">도와다호 → 하치노헤</t>
  </si>
  <si>
    <r>
      <rPr>
        <sz val="9"/>
        <rFont val="Noto Sans CJK SC"/>
        <family val="2"/>
      </rPr>
      <t xml:space="preserve">렌트카 약 </t>
    </r>
    <r>
      <rPr>
        <sz val="9"/>
        <rFont val="Arial"/>
        <family val="0"/>
        <charset val="1"/>
      </rPr>
      <t xml:space="preserve">1.5</t>
    </r>
    <r>
      <rPr>
        <sz val="9"/>
        <rFont val="Noto Sans CJK SC"/>
        <family val="2"/>
      </rPr>
      <t xml:space="preserve">시간</t>
    </r>
  </si>
  <si>
    <t xml:space="preserve">17:00~17:20</t>
  </si>
  <si>
    <t xml:space="preserve">하치노헤 숙소 체크인</t>
  </si>
  <si>
    <t xml:space="preserve">コンフォートホテル八戸</t>
  </si>
  <si>
    <t xml:space="preserve">18:00~19:30</t>
  </si>
  <si>
    <r>
      <rPr>
        <sz val="9"/>
        <rFont val="Noto Sans CJK SC"/>
        <family val="2"/>
      </rPr>
      <t xml:space="preserve">저녁식사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미로쿠요코초</t>
    </r>
    <r>
      <rPr>
        <sz val="9"/>
        <rFont val="Arial"/>
        <family val="0"/>
        <charset val="1"/>
      </rPr>
      <t xml:space="preserve">)</t>
    </r>
  </si>
  <si>
    <t xml:space="preserve">하치노헤</t>
  </si>
  <si>
    <t xml:space="preserve">みろく横丁 八戸</t>
  </si>
  <si>
    <t xml:space="preserve">일요일 새벽 이동 대비 일찍 취침 권장</t>
  </si>
  <si>
    <t xml:space="preserve">20:00~</t>
  </si>
  <si>
    <t xml:space="preserve">컴포트 호텔 하치노헤 숙박</t>
  </si>
  <si>
    <r>
      <rPr>
        <sz val="9"/>
        <rFont val="Noto Sans CJK SC"/>
        <family val="2"/>
      </rPr>
      <t xml:space="preserve">예약 확정 — 총액 </t>
    </r>
    <r>
      <rPr>
        <sz val="9"/>
        <rFont val="Arial"/>
        <family val="0"/>
        <charset val="1"/>
      </rPr>
      <t xml:space="preserve">17,727</t>
    </r>
    <r>
      <rPr>
        <sz val="9"/>
        <rFont val="Noto Sans CJK SC"/>
        <family val="2"/>
      </rPr>
      <t xml:space="preserve">엔</t>
    </r>
    <r>
      <rPr>
        <sz val="9"/>
        <rFont val="Arial"/>
        <family val="0"/>
        <charset val="1"/>
      </rPr>
      <t xml:space="preserve">(2</t>
    </r>
    <r>
      <rPr>
        <sz val="9"/>
        <rFont val="Noto Sans CJK SC"/>
        <family val="2"/>
      </rPr>
      <t xml:space="preserve">인</t>
    </r>
    <r>
      <rPr>
        <sz val="9"/>
        <rFont val="Arial"/>
        <family val="0"/>
        <charset val="1"/>
      </rPr>
      <t xml:space="preserve">)÷2=8,863.5</t>
    </r>
    <r>
      <rPr>
        <sz val="9"/>
        <rFont val="Noto Sans CJK SC"/>
        <family val="2"/>
      </rPr>
      <t xml:space="preserve">엔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인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부킹닷컴 예약</t>
    </r>
    <r>
      <rPr>
        <sz val="9"/>
        <rFont val="Arial"/>
        <family val="0"/>
        <charset val="1"/>
      </rPr>
      <t xml:space="preserve">, 8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18</t>
    </r>
    <r>
      <rPr>
        <sz val="9"/>
        <rFont val="Noto Sans CJK SC"/>
        <family val="2"/>
      </rPr>
      <t xml:space="preserve">일 결제 예정</t>
    </r>
  </si>
  <si>
    <r>
      <rPr>
        <b val="true"/>
        <sz val="9"/>
        <rFont val="Arial"/>
        <family val="0"/>
        <charset val="1"/>
      </rPr>
      <t xml:space="preserve">8/22 </t>
    </r>
    <r>
      <rPr>
        <b val="true"/>
        <sz val="9"/>
        <rFont val="Noto Sans CJK SC"/>
        <family val="2"/>
      </rPr>
      <t xml:space="preserve">소계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참고용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Noto Sans CJK SC"/>
        <family val="2"/>
      </rPr>
      <t xml:space="preserve">핫코다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오이라세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도와다호</t>
    </r>
    <r>
      <rPr>
        <b val="true"/>
        <sz val="9"/>
        <rFont val="Arial"/>
        <family val="0"/>
        <charset val="1"/>
      </rPr>
      <t xml:space="preserve">)</t>
    </r>
  </si>
  <si>
    <t xml:space="preserve">8/23</t>
  </si>
  <si>
    <t xml:space="preserve">일</t>
  </si>
  <si>
    <t xml:space="preserve">이른 아침</t>
  </si>
  <si>
    <t xml:space="preserve">하치노헤 숙소 체크아웃</t>
  </si>
  <si>
    <t xml:space="preserve">05:30~08:00</t>
  </si>
  <si>
    <t xml:space="preserve">다테하나 안벽 아침시장</t>
  </si>
  <si>
    <t xml:space="preserve">館鼻岸壁朝市</t>
  </si>
  <si>
    <r>
      <rPr>
        <sz val="9"/>
        <rFont val="Noto Sans CJK SC"/>
        <family val="2"/>
      </rPr>
      <t xml:space="preserve">일요일만 운영</t>
    </r>
    <r>
      <rPr>
        <sz val="9"/>
        <rFont val="Arial"/>
        <family val="0"/>
        <charset val="1"/>
      </rPr>
      <t xml:space="preserve">(3</t>
    </r>
    <r>
      <rPr>
        <sz val="9"/>
        <rFont val="Noto Sans CJK SC"/>
        <family val="2"/>
      </rPr>
      <t xml:space="preserve">월중순</t>
    </r>
    <r>
      <rPr>
        <sz val="9"/>
        <rFont val="Arial"/>
        <family val="0"/>
        <charset val="1"/>
      </rPr>
      <t xml:space="preserve">~12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) · </t>
    </r>
    <r>
      <rPr>
        <sz val="9"/>
        <rFont val="Noto Sans CJK SC"/>
        <family val="2"/>
      </rPr>
      <t xml:space="preserve">일출</t>
    </r>
    <r>
      <rPr>
        <sz val="9"/>
        <rFont val="Arial"/>
        <family val="0"/>
        <charset val="1"/>
      </rPr>
      <t xml:space="preserve">~09</t>
    </r>
    <r>
      <rPr>
        <sz val="9"/>
        <rFont val="Noto Sans CJK SC"/>
        <family val="2"/>
      </rPr>
      <t xml:space="preserve">시경</t>
    </r>
    <r>
      <rPr>
        <sz val="9"/>
        <rFont val="Arial"/>
        <family val="0"/>
        <charset val="1"/>
      </rPr>
      <t xml:space="preserve">, 8</t>
    </r>
    <r>
      <rPr>
        <sz val="9"/>
        <rFont val="Noto Sans CJK SC"/>
        <family val="2"/>
      </rPr>
      <t xml:space="preserve">월말이라 더위 걱정 없음</t>
    </r>
  </si>
  <si>
    <t xml:space="preserve">카부시마 신사</t>
  </si>
  <si>
    <r>
      <rPr>
        <sz val="9"/>
        <rFont val="Noto Sans CJK SC"/>
        <family val="2"/>
      </rPr>
      <t xml:space="preserve">하치노헤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우미네코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괭이갈매기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서식지</t>
    </r>
  </si>
  <si>
    <t xml:space="preserve">蕪島神社 八戸市</t>
  </si>
  <si>
    <r>
      <rPr>
        <sz val="9"/>
        <rFont val="Noto Sans CJK SC"/>
        <family val="2"/>
      </rPr>
      <t xml:space="preserve">우미네코 번식지로 유명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아침시장 근처</t>
    </r>
  </si>
  <si>
    <t xml:space="preserve">10:00~12:00</t>
  </si>
  <si>
    <t xml:space="preserve">점심 — 다네사시 해안</t>
  </si>
  <si>
    <t xml:space="preserve">種差海岸 ランチ</t>
  </si>
  <si>
    <r>
      <rPr>
        <sz val="9"/>
        <rFont val="Noto Sans CJK SC"/>
        <family val="2"/>
      </rPr>
      <t xml:space="preserve">우니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성게 시즌은 시가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時価</t>
    </r>
    <r>
      <rPr>
        <sz val="9"/>
        <rFont val="Arial"/>
        <family val="0"/>
        <charset val="1"/>
      </rPr>
      <t xml:space="preserve">)</t>
    </r>
  </si>
  <si>
    <t xml:space="preserve">12:00~15:00</t>
  </si>
  <si>
    <t xml:space="preserve">하치노헤 → 아키타</t>
  </si>
  <si>
    <r>
      <rPr>
        <sz val="9"/>
        <rFont val="Noto Sans CJK SC"/>
        <family val="2"/>
      </rPr>
      <t xml:space="preserve">렌트카 고속도로 약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시간</t>
    </r>
  </si>
  <si>
    <t xml:space="preserve">15:00~15:20</t>
  </si>
  <si>
    <t xml:space="preserve">아키타 시내 숙소 체크인</t>
  </si>
  <si>
    <t xml:space="preserve">リッチモンドホテル秋田駅前</t>
  </si>
  <si>
    <t xml:space="preserve">15:30~17:20</t>
  </si>
  <si>
    <t xml:space="preserve">아키타 시내 구경</t>
  </si>
  <si>
    <t xml:space="preserve">秋田市 中心部</t>
  </si>
  <si>
    <t xml:space="preserve">17:30~19:30</t>
  </si>
  <si>
    <r>
      <rPr>
        <sz val="9"/>
        <rFont val="Noto Sans CJK SC"/>
        <family val="2"/>
      </rPr>
      <t xml:space="preserve">さけ富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사케토미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</si>
  <si>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가와바타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아키타역 도보 </t>
    </r>
    <r>
      <rPr>
        <sz val="9"/>
        <rFont val="Arial"/>
        <family val="0"/>
        <charset val="1"/>
      </rPr>
      <t xml:space="preserve">20</t>
    </r>
    <r>
      <rPr>
        <sz val="9"/>
        <rFont val="Noto Sans CJK SC"/>
        <family val="2"/>
      </rPr>
      <t xml:space="preserve">분</t>
    </r>
  </si>
  <si>
    <t xml:space="preserve">さけ富 秋田市</t>
  </si>
  <si>
    <r>
      <rPr>
        <sz val="9"/>
        <rFont val="Noto Sans CJK SC"/>
        <family val="2"/>
      </rPr>
      <t xml:space="preserve">타베로그 예약번호 </t>
    </r>
    <r>
      <rPr>
        <sz val="9"/>
        <rFont val="Arial"/>
        <family val="0"/>
        <charset val="1"/>
      </rPr>
      <t xml:space="preserve">5862GDDN5A · </t>
    </r>
    <r>
      <rPr>
        <sz val="9"/>
        <rFont val="Noto Sans CJK SC"/>
        <family val="2"/>
      </rPr>
      <t xml:space="preserve">일요일 </t>
    </r>
    <r>
      <rPr>
        <sz val="9"/>
        <rFont val="Arial"/>
        <family val="0"/>
        <charset val="1"/>
      </rPr>
      <t xml:space="preserve">16:00-22:00(</t>
    </r>
    <r>
      <rPr>
        <sz val="9"/>
        <rFont val="Noto Sans CJK SC"/>
        <family val="2"/>
      </rPr>
      <t xml:space="preserve">단축영업</t>
    </r>
    <r>
      <rPr>
        <sz val="9"/>
        <rFont val="Arial"/>
        <family val="0"/>
        <charset val="1"/>
      </rPr>
      <t xml:space="preserve">)</t>
    </r>
  </si>
  <si>
    <t xml:space="preserve">20:30~</t>
  </si>
  <si>
    <t xml:space="preserve">리치몬드 호텔 아키타에키마에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</si>
  <si>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조식포함</t>
    </r>
  </si>
  <si>
    <r>
      <rPr>
        <sz val="9"/>
        <rFont val="Noto Sans CJK SC"/>
        <family val="2"/>
      </rPr>
      <t xml:space="preserve">예약확정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부킹닷컴</t>
    </r>
    <r>
      <rPr>
        <sz val="9"/>
        <rFont val="Arial"/>
        <family val="0"/>
        <charset val="1"/>
      </rPr>
      <t xml:space="preserve">, 8/21</t>
    </r>
    <r>
      <rPr>
        <sz val="9"/>
        <rFont val="Noto Sans CJK SC"/>
        <family val="2"/>
      </rPr>
      <t xml:space="preserve">결제예정</t>
    </r>
  </si>
  <si>
    <r>
      <rPr>
        <b val="true"/>
        <sz val="9"/>
        <rFont val="Arial"/>
        <family val="0"/>
        <charset val="1"/>
      </rPr>
      <t xml:space="preserve">8/23 </t>
    </r>
    <r>
      <rPr>
        <b val="true"/>
        <sz val="9"/>
        <rFont val="Noto Sans CJK SC"/>
        <family val="2"/>
      </rPr>
      <t xml:space="preserve">소계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참고용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Noto Sans CJK SC"/>
        <family val="2"/>
      </rPr>
      <t xml:space="preserve">아침시장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다네사시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아키타</t>
    </r>
    <r>
      <rPr>
        <b val="true"/>
        <sz val="9"/>
        <rFont val="Arial"/>
        <family val="0"/>
        <charset val="1"/>
      </rPr>
      <t xml:space="preserve">)</t>
    </r>
  </si>
  <si>
    <t xml:space="preserve">8/24</t>
  </si>
  <si>
    <t xml:space="preserve">월</t>
  </si>
  <si>
    <t xml:space="preserve">아침</t>
  </si>
  <si>
    <t xml:space="preserve">아키타 숙소 체크아웃</t>
  </si>
  <si>
    <r>
      <rPr>
        <sz val="9"/>
        <rFont val="Noto Sans CJK SC"/>
        <family val="2"/>
      </rPr>
      <t xml:space="preserve">아라마사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新政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주조 견학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시음</t>
    </r>
  </si>
  <si>
    <t xml:space="preserve">필수 일정</t>
  </si>
  <si>
    <t xml:space="preserve">018-823-6407</t>
  </si>
  <si>
    <t xml:space="preserve">新政酒造 秋田市</t>
  </si>
  <si>
    <r>
      <rPr>
        <sz val="9"/>
        <rFont val="Noto Sans CJK SC"/>
        <family val="2"/>
      </rPr>
      <t xml:space="preserve">★사전예약 필수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평일만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토일공휴일 휴무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불가시 가라쿠 등에서 시음 대체</t>
    </r>
  </si>
  <si>
    <t xml:space="preserve">11:00~12:30</t>
  </si>
  <si>
    <t xml:space="preserve">점심 — 이나니와 우동</t>
  </si>
  <si>
    <r>
      <rPr>
        <sz val="9"/>
        <rFont val="Noto Sans CJK SC"/>
        <family val="2"/>
      </rPr>
      <t xml:space="preserve">토피코점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아키타역 메트로폴리탄口</t>
    </r>
  </si>
  <si>
    <t xml:space="preserve">佐藤養助 トピコ店</t>
  </si>
  <si>
    <r>
      <rPr>
        <sz val="9"/>
        <rFont val="Noto Sans CJK SC"/>
        <family val="2"/>
      </rPr>
      <t xml:space="preserve">토피코 아루스 제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주차장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매장 앞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첫 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분 무료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이후 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분 </t>
    </r>
    <r>
      <rPr>
        <sz val="9"/>
        <rFont val="Arial"/>
        <family val="0"/>
        <charset val="1"/>
      </rPr>
      <t xml:space="preserve">100</t>
    </r>
    <r>
      <rPr>
        <sz val="9"/>
        <rFont val="Noto Sans CJK SC"/>
        <family val="2"/>
      </rPr>
      <t xml:space="preserve">엔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이 세이부백화점 쪽보다 주차 편함</t>
    </r>
  </si>
  <si>
    <t xml:space="preserve">12:30~13:30</t>
  </si>
  <si>
    <t xml:space="preserve">유류비</t>
  </si>
  <si>
    <r>
      <rPr>
        <sz val="9"/>
        <rFont val="Noto Sans CJK SC"/>
        <family val="2"/>
      </rPr>
      <t xml:space="preserve">아키타 → 가쿠노다테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렌트카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</si>
  <si>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유류비</t>
    </r>
    <r>
      <rPr>
        <sz val="9"/>
        <rFont val="Arial"/>
        <family val="0"/>
        <charset val="1"/>
      </rPr>
      <t xml:space="preserve">(2</t>
    </r>
    <r>
      <rPr>
        <sz val="9"/>
        <rFont val="Noto Sans CJK SC"/>
        <family val="2"/>
      </rPr>
      <t xml:space="preserve">인 총액</t>
    </r>
    <r>
      <rPr>
        <sz val="9"/>
        <rFont val="Arial"/>
        <family val="0"/>
        <charset val="1"/>
      </rPr>
      <t xml:space="preserve">÷2 </t>
    </r>
    <r>
      <rPr>
        <sz val="9"/>
        <rFont val="Noto Sans CJK SC"/>
        <family val="2"/>
      </rPr>
      <t xml:space="preserve">개념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추정치</t>
    </r>
    <r>
      <rPr>
        <sz val="9"/>
        <rFont val="Arial"/>
        <family val="0"/>
        <charset val="1"/>
      </rPr>
      <t xml:space="preserve">)</t>
    </r>
  </si>
  <si>
    <t xml:space="preserve">13:30~15:00</t>
  </si>
  <si>
    <t xml:space="preserve">가쿠노다테 사무라이 거리 관광</t>
  </si>
  <si>
    <t xml:space="preserve">무가저택거리</t>
  </si>
  <si>
    <t xml:space="preserve">角館 武家屋敷 ランチ</t>
  </si>
  <si>
    <r>
      <rPr>
        <sz val="9"/>
        <rFont val="Noto Sans CJK SC"/>
        <family val="2"/>
      </rPr>
      <t xml:space="preserve">오전 방문 권장 — 한낮 더위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점심은 아키타에서 이나니와우동으로 대체</t>
    </r>
    <r>
      <rPr>
        <sz val="9"/>
        <rFont val="Arial"/>
        <family val="0"/>
        <charset val="1"/>
      </rPr>
      <t xml:space="preserve">)</t>
    </r>
  </si>
  <si>
    <t xml:space="preserve">15:00~15:30</t>
  </si>
  <si>
    <t xml:space="preserve">가쿠노다테 가바자이쿠 덴쇼칸</t>
  </si>
  <si>
    <r>
      <rPr>
        <sz val="9"/>
        <rFont val="Noto Sans CJK SC"/>
        <family val="2"/>
      </rPr>
      <t xml:space="preserve">무가저택거리 도보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분</t>
    </r>
  </si>
  <si>
    <t xml:space="preserve">仙北市立角館樺細工伝承館</t>
  </si>
  <si>
    <r>
      <rPr>
        <sz val="9"/>
        <rFont val="Noto Sans CJK SC"/>
        <family val="2"/>
      </rPr>
      <t xml:space="preserve">차통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브로치 등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만들기 체험 가능 </t>
    </r>
    <r>
      <rPr>
        <sz val="9"/>
        <rFont val="Arial"/>
        <family val="0"/>
        <charset val="1"/>
      </rPr>
      <t xml:space="preserve">· https://www.city.semboku.akita.jp/sightseeing/densyo/</t>
    </r>
  </si>
  <si>
    <t xml:space="preserve">15:30~16:10</t>
  </si>
  <si>
    <r>
      <rPr>
        <sz val="9"/>
        <rFont val="Noto Sans CJK SC"/>
        <family val="2"/>
      </rPr>
      <t xml:space="preserve">가쿠노다테 → 다자와코 레이크리조트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렌트카</t>
    </r>
    <r>
      <rPr>
        <sz val="9"/>
        <rFont val="Arial"/>
        <family val="0"/>
        <charset val="1"/>
      </rPr>
      <t xml:space="preserve">)</t>
    </r>
  </si>
  <si>
    <t xml:space="preserve">田沢湖レイクリゾート</t>
  </si>
  <si>
    <r>
      <rPr>
        <sz val="9"/>
        <rFont val="Noto Sans CJK SC"/>
        <family val="2"/>
      </rPr>
      <t xml:space="preserve">약 </t>
    </r>
    <r>
      <rPr>
        <sz val="9"/>
        <rFont val="Arial"/>
        <family val="0"/>
        <charset val="1"/>
      </rPr>
      <t xml:space="preserve">30~40</t>
    </r>
    <r>
      <rPr>
        <sz val="9"/>
        <rFont val="Noto Sans CJK SC"/>
        <family val="2"/>
      </rPr>
      <t xml:space="preserve">분</t>
    </r>
  </si>
  <si>
    <t xml:space="preserve">16:10~</t>
  </si>
  <si>
    <t xml:space="preserve">다자와코 레이크리조트</t>
  </si>
  <si>
    <r>
      <rPr>
        <sz val="9"/>
        <rFont val="Noto Sans CJK SC"/>
        <family val="2"/>
      </rPr>
      <t xml:space="preserve">예약 확정 — 부킹닷컴</t>
    </r>
    <r>
      <rPr>
        <sz val="9"/>
        <rFont val="Arial"/>
        <family val="0"/>
        <charset val="1"/>
      </rPr>
      <t xml:space="preserve">, 8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15</t>
    </r>
    <r>
      <rPr>
        <sz val="9"/>
        <rFont val="Noto Sans CJK SC"/>
        <family val="2"/>
      </rPr>
      <t xml:space="preserve">일 결제 예정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조식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석식 모두 뷔페</t>
    </r>
    <r>
      <rPr>
        <sz val="9"/>
        <rFont val="Arial"/>
        <family val="0"/>
        <charset val="1"/>
      </rPr>
      <t xml:space="preserve">(60</t>
    </r>
    <r>
      <rPr>
        <sz val="9"/>
        <rFont val="Noto Sans CJK SC"/>
        <family val="2"/>
      </rPr>
      <t xml:space="preserve">여가지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화양중식</t>
    </r>
    <r>
      <rPr>
        <sz val="9"/>
        <rFont val="Arial"/>
        <family val="0"/>
        <charset val="1"/>
      </rPr>
      <t xml:space="preserve">), </t>
    </r>
    <r>
      <rPr>
        <sz val="9"/>
        <rFont val="Noto Sans CJK SC"/>
        <family val="2"/>
      </rPr>
      <t xml:space="preserve">만화방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게임룸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탁구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당구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등 엔터 시설</t>
    </r>
  </si>
  <si>
    <r>
      <rPr>
        <b val="true"/>
        <sz val="9"/>
        <rFont val="Arial"/>
        <family val="0"/>
        <charset val="1"/>
      </rPr>
      <t xml:space="preserve">8/24 </t>
    </r>
    <r>
      <rPr>
        <b val="true"/>
        <sz val="9"/>
        <rFont val="Noto Sans CJK SC"/>
        <family val="2"/>
      </rPr>
      <t xml:space="preserve">소계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참고용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Noto Sans CJK SC"/>
        <family val="2"/>
      </rPr>
      <t xml:space="preserve">아라마사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아키타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가쿠노다테</t>
    </r>
    <r>
      <rPr>
        <b val="true"/>
        <sz val="9"/>
        <rFont val="Arial"/>
        <family val="0"/>
        <charset val="1"/>
      </rPr>
      <t xml:space="preserve">)</t>
    </r>
  </si>
  <si>
    <t xml:space="preserve">8/25</t>
  </si>
  <si>
    <t xml:space="preserve">화</t>
  </si>
  <si>
    <t xml:space="preserve">07:00~11:00</t>
  </si>
  <si>
    <r>
      <rPr>
        <sz val="9"/>
        <rFont val="Noto Sans CJK SC"/>
        <family val="2"/>
      </rPr>
      <t xml:space="preserve">료칸 조식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온천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체크아웃</t>
    </r>
  </si>
  <si>
    <r>
      <rPr>
        <sz val="9"/>
        <rFont val="Noto Sans CJK SC"/>
        <family val="2"/>
      </rPr>
      <t xml:space="preserve">세루리안리조트</t>
    </r>
    <r>
      <rPr>
        <sz val="9"/>
        <rFont val="Arial"/>
        <family val="0"/>
        <charset val="1"/>
      </rPr>
      <t xml:space="preserve">AONI</t>
    </r>
  </si>
  <si>
    <r>
      <rPr>
        <sz val="9"/>
        <rFont val="Noto Sans CJK SC"/>
        <family val="2"/>
      </rPr>
      <t xml:space="preserve">조식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온천 여유롭게 즐기고 </t>
    </r>
    <r>
      <rPr>
        <sz val="9"/>
        <rFont val="Arial"/>
        <family val="0"/>
        <charset val="1"/>
      </rPr>
      <t xml:space="preserve">11:00 </t>
    </r>
    <r>
      <rPr>
        <sz val="9"/>
        <rFont val="Noto Sans CJK SC"/>
        <family val="2"/>
      </rPr>
      <t xml:space="preserve">체크아웃 출발</t>
    </r>
  </si>
  <si>
    <r>
      <rPr>
        <sz val="9"/>
        <rFont val="Noto Sans CJK SC"/>
        <family val="2"/>
      </rPr>
      <t xml:space="preserve">미즈사와온천 → 히로사키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렌트카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직행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</si>
  <si>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다자와코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가쿠노다테 경유 없이 직행 — 유류비 추정치</t>
    </r>
  </si>
  <si>
    <t xml:space="preserve">점심 — 히로사키 시내</t>
  </si>
  <si>
    <t xml:space="preserve">히로사키성 인근</t>
  </si>
  <si>
    <t xml:space="preserve">弘前城 そば ランチ</t>
  </si>
  <si>
    <r>
      <rPr>
        <sz val="9"/>
        <rFont val="Noto Sans CJK SC"/>
        <family val="2"/>
      </rPr>
      <t xml:space="preserve">전날 이나니와우동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면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과 겹치지 않게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국수 아닌 옵션도 추가해둠</t>
    </r>
  </si>
  <si>
    <t xml:space="preserve">14:00~17:00</t>
  </si>
  <si>
    <r>
      <rPr>
        <sz val="9"/>
        <rFont val="Noto Sans CJK SC"/>
        <family val="2"/>
      </rPr>
      <t xml:space="preserve">히로사키성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공원 등 시내 관광</t>
    </r>
  </si>
  <si>
    <t xml:space="preserve">히로사키</t>
  </si>
  <si>
    <t xml:space="preserve">弘前公園</t>
  </si>
  <si>
    <r>
      <rPr>
        <sz val="9"/>
        <rFont val="Noto Sans CJK SC"/>
        <family val="2"/>
      </rPr>
      <t xml:space="preserve">히로사키성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공원 등 여유롭게 시내 관광</t>
    </r>
  </si>
  <si>
    <t xml:space="preserve">17:00~17:30</t>
  </si>
  <si>
    <t xml:space="preserve">도미인 히로사키 체크인</t>
  </si>
  <si>
    <t xml:space="preserve">ドーミーイン弘前</t>
  </si>
  <si>
    <t xml:space="preserve">저녁식사</t>
  </si>
  <si>
    <t xml:space="preserve">弘前 居酒屋</t>
  </si>
  <si>
    <r>
      <rPr>
        <sz val="9"/>
        <rFont val="Noto Sans CJK SC"/>
        <family val="2"/>
      </rPr>
      <t xml:space="preserve">★렌트카 </t>
    </r>
    <r>
      <rPr>
        <sz val="9"/>
        <rFont val="Arial"/>
        <family val="0"/>
        <charset val="1"/>
      </rPr>
      <t xml:space="preserve">09:30 </t>
    </r>
    <r>
      <rPr>
        <sz val="9"/>
        <rFont val="Noto Sans CJK SC"/>
        <family val="2"/>
      </rPr>
      <t xml:space="preserve">반납 마감이라 다음날 아침엔 관광 시간이 없습니다 — 성 구경은 오늘 저녁에</t>
    </r>
  </si>
  <si>
    <t xml:space="preserve">도미인 히로사키</t>
  </si>
  <si>
    <r>
      <rPr>
        <sz val="9"/>
        <rFont val="Noto Sans CJK SC"/>
        <family val="2"/>
      </rPr>
      <t xml:space="preserve">예약확정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아고다 결제완료</t>
    </r>
  </si>
  <si>
    <r>
      <rPr>
        <b val="true"/>
        <sz val="9"/>
        <rFont val="Arial"/>
        <family val="0"/>
        <charset val="1"/>
      </rPr>
      <t xml:space="preserve">8/25 </t>
    </r>
    <r>
      <rPr>
        <b val="true"/>
        <sz val="9"/>
        <rFont val="Noto Sans CJK SC"/>
        <family val="2"/>
      </rPr>
      <t xml:space="preserve">소계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참고용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Noto Sans CJK SC"/>
        <family val="2"/>
      </rPr>
      <t xml:space="preserve">가쿠노다테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다자와코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히로사키</t>
    </r>
    <r>
      <rPr>
        <b val="true"/>
        <sz val="9"/>
        <rFont val="Arial"/>
        <family val="0"/>
        <charset val="1"/>
      </rPr>
      <t xml:space="preserve">)</t>
    </r>
  </si>
  <si>
    <t xml:space="preserve">8/26</t>
  </si>
  <si>
    <t xml:space="preserve">수</t>
  </si>
  <si>
    <t xml:space="preserve">06:00~08:30</t>
  </si>
  <si>
    <r>
      <rPr>
        <sz val="9"/>
        <rFont val="Noto Sans CJK SC"/>
        <family val="2"/>
      </rPr>
      <t xml:space="preserve">조식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체크아웃</t>
    </r>
  </si>
  <si>
    <r>
      <rPr>
        <sz val="9"/>
        <rFont val="Noto Sans CJK SC"/>
        <family val="2"/>
      </rPr>
      <t xml:space="preserve">★렌트카 </t>
    </r>
    <r>
      <rPr>
        <sz val="9"/>
        <rFont val="Arial"/>
        <family val="0"/>
        <charset val="1"/>
      </rPr>
      <t xml:space="preserve">09:30 </t>
    </r>
    <r>
      <rPr>
        <sz val="9"/>
        <rFont val="Noto Sans CJK SC"/>
        <family val="2"/>
      </rPr>
      <t xml:space="preserve">아오모리공항 반납 마감</t>
    </r>
  </si>
  <si>
    <t xml:space="preserve">08:30~09:00</t>
  </si>
  <si>
    <r>
      <rPr>
        <sz val="9"/>
        <rFont val="Noto Sans CJK SC"/>
        <family val="2"/>
      </rPr>
      <t xml:space="preserve">히로사키 → 아오모리공항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렌트카 반납</t>
    </r>
    <r>
      <rPr>
        <sz val="9"/>
        <rFont val="Arial"/>
        <family val="0"/>
        <charset val="1"/>
      </rPr>
      <t xml:space="preserve">)</t>
    </r>
  </si>
  <si>
    <t xml:space="preserve">青森空港</t>
  </si>
  <si>
    <r>
      <rPr>
        <sz val="9"/>
        <rFont val="Noto Sans CJK SC"/>
        <family val="2"/>
      </rPr>
      <t xml:space="preserve">예약번호 </t>
    </r>
    <r>
      <rPr>
        <sz val="9"/>
        <rFont val="Arial"/>
        <family val="0"/>
        <charset val="1"/>
      </rPr>
      <t xml:space="preserve">RC72461246535486149 · </t>
    </r>
    <r>
      <rPr>
        <sz val="9"/>
        <rFont val="Noto Sans CJK SC"/>
        <family val="2"/>
      </rPr>
      <t xml:space="preserve">반납전 만유 필수 </t>
    </r>
    <r>
      <rPr>
        <sz val="9"/>
        <rFont val="Arial"/>
        <family val="0"/>
        <charset val="1"/>
      </rPr>
      <t xml:space="preserve">· 09:30 </t>
    </r>
    <r>
      <rPr>
        <sz val="9"/>
        <rFont val="Noto Sans CJK SC"/>
        <family val="2"/>
      </rPr>
      <t xml:space="preserve">마감</t>
    </r>
  </si>
  <si>
    <t xml:space="preserve">09:00~10:45</t>
  </si>
  <si>
    <t xml:space="preserve">기타</t>
  </si>
  <si>
    <r>
      <rPr>
        <sz val="9"/>
        <rFont val="Noto Sans CJK SC"/>
        <family val="2"/>
      </rPr>
      <t xml:space="preserve">공항 도착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여유시간</t>
    </r>
  </si>
  <si>
    <t xml:space="preserve">기념품 등</t>
  </si>
  <si>
    <r>
      <rPr>
        <sz val="9"/>
        <rFont val="Noto Sans CJK SC"/>
        <family val="2"/>
      </rPr>
      <t xml:space="preserve">반납 후 체크인까지 약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시간 여유</t>
    </r>
  </si>
  <si>
    <t xml:space="preserve">12:45~15:30</t>
  </si>
  <si>
    <r>
      <rPr>
        <sz val="9"/>
        <rFont val="Arial"/>
        <family val="0"/>
        <charset val="1"/>
      </rPr>
      <t xml:space="preserve">KE2194 </t>
    </r>
    <r>
      <rPr>
        <sz val="9"/>
        <rFont val="Noto Sans CJK SC"/>
        <family val="2"/>
      </rPr>
      <t xml:space="preserve">탑승 </t>
    </r>
    <r>
      <rPr>
        <sz val="9"/>
        <rFont val="Arial"/>
        <family val="0"/>
        <charset val="1"/>
      </rPr>
      <t xml:space="preserve">(AOJ → ICN)</t>
    </r>
  </si>
  <si>
    <r>
      <rPr>
        <sz val="9"/>
        <rFont val="Noto Sans CJK SC"/>
        <family val="2"/>
      </rPr>
      <t xml:space="preserve">체크인 마감 약 </t>
    </r>
    <r>
      <rPr>
        <sz val="9"/>
        <rFont val="Arial"/>
        <family val="0"/>
        <charset val="1"/>
      </rPr>
      <t xml:space="preserve">10:45</t>
    </r>
  </si>
  <si>
    <r>
      <rPr>
        <b val="true"/>
        <sz val="9"/>
        <rFont val="Arial"/>
        <family val="0"/>
        <charset val="1"/>
      </rPr>
      <t xml:space="preserve">8/26 </t>
    </r>
    <r>
      <rPr>
        <b val="true"/>
        <sz val="9"/>
        <rFont val="Noto Sans CJK SC"/>
        <family val="2"/>
      </rPr>
      <t xml:space="preserve">소계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참고용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Noto Sans CJK SC"/>
        <family val="2"/>
      </rPr>
      <t xml:space="preserve">귀국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</si>
  <si>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현지 비용 합계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참고용 근사치 — 정확한 예산은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예산요약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시트 참고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</si>
  <si>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■ 범례</t>
    </r>
    <r>
      <rPr>
        <b val="true"/>
        <sz val="9"/>
        <rFont val="Arial"/>
        <family val="0"/>
        <charset val="1"/>
      </rPr>
      <t xml:space="preserve">:</t>
    </r>
  </si>
  <si>
    <r>
      <rPr>
        <sz val="9"/>
        <rFont val="Noto Sans CJK SC"/>
        <family val="2"/>
      </rPr>
      <t xml:space="preserve">연두색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확정</t>
    </r>
  </si>
  <si>
    <r>
      <rPr>
        <sz val="9"/>
        <rFont val="Noto Sans CJK SC"/>
        <family val="2"/>
      </rPr>
      <t xml:space="preserve">연주황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미정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</si>
  <si>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⚠️ '</t>
    </r>
    <r>
      <rPr>
        <i val="true"/>
        <sz val="9"/>
        <color rgb="FF595959"/>
        <rFont val="Noto Sans CJK SC"/>
        <family val="2"/>
      </rPr>
      <t xml:space="preserve">예상비용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엔 환산</t>
    </r>
    <r>
      <rPr>
        <i val="true"/>
        <sz val="9"/>
        <color rgb="FF595959"/>
        <rFont val="Arial"/>
        <family val="0"/>
        <charset val="1"/>
      </rPr>
      <t xml:space="preserve">)' </t>
    </r>
    <r>
      <rPr>
        <i val="true"/>
        <sz val="9"/>
        <color rgb="FF595959"/>
        <rFont val="Noto Sans CJK SC"/>
        <family val="2"/>
      </rPr>
      <t xml:space="preserve">열은 원문에 적힌 숫자를 그대로 추출한 값이라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항목마다 </t>
    </r>
    <r>
      <rPr>
        <i val="true"/>
        <sz val="9"/>
        <color rgb="FF595959"/>
        <rFont val="Arial"/>
        <family val="0"/>
        <charset val="1"/>
      </rPr>
      <t xml:space="preserve">'(2</t>
    </r>
    <r>
      <rPr>
        <i val="true"/>
        <sz val="9"/>
        <color rgb="FF595959"/>
        <rFont val="Noto Sans CJK SC"/>
        <family val="2"/>
      </rPr>
      <t xml:space="preserve">인</t>
    </r>
    <r>
      <rPr>
        <i val="true"/>
        <sz val="9"/>
        <color rgb="FF595959"/>
        <rFont val="Arial"/>
        <family val="0"/>
        <charset val="1"/>
      </rPr>
      <t xml:space="preserve">)' </t>
    </r>
    <r>
      <rPr>
        <i val="true"/>
        <sz val="9"/>
        <color rgb="FF595959"/>
        <rFont val="Noto Sans CJK SC"/>
        <family val="2"/>
      </rPr>
      <t xml:space="preserve">총액인 것과 </t>
    </r>
    <r>
      <rPr>
        <i val="true"/>
        <sz val="9"/>
        <color rgb="FF595959"/>
        <rFont val="Arial"/>
        <family val="0"/>
        <charset val="1"/>
      </rPr>
      <t xml:space="preserve">'(1</t>
    </r>
    <r>
      <rPr>
        <i val="true"/>
        <sz val="9"/>
        <color rgb="FF595959"/>
        <rFont val="Noto Sans CJK SC"/>
        <family val="2"/>
      </rPr>
      <t xml:space="preserve">인</t>
    </r>
    <r>
      <rPr>
        <i val="true"/>
        <sz val="9"/>
        <color rgb="FF595959"/>
        <rFont val="Arial"/>
        <family val="0"/>
        <charset val="1"/>
      </rPr>
      <t xml:space="preserve">)' </t>
    </r>
    <r>
      <rPr>
        <i val="true"/>
        <sz val="9"/>
        <color rgb="FF595959"/>
        <rFont val="Noto Sans CJK SC"/>
        <family val="2"/>
      </rPr>
      <t xml:space="preserve">단가인 것이 섞여있어 단순 합산액은 참고용일 뿐 정확한 총 예산이 아닙니다 — 정확한 총 예산은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예산요약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시트를 참고하세요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</si>
  <si>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Arial"/>
        <family val="0"/>
        <charset val="1"/>
      </rPr>
      <t xml:space="preserve">※ '</t>
    </r>
    <r>
      <rPr>
        <i val="true"/>
        <sz val="9"/>
        <color rgb="FF595959"/>
        <rFont val="Noto Sans CJK SC"/>
        <family val="2"/>
      </rPr>
      <t xml:space="preserve">예산요약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시트의 총 예산은 웹사이트</t>
    </r>
    <r>
      <rPr>
        <i val="true"/>
        <sz val="9"/>
        <color rgb="FF595959"/>
        <rFont val="Arial"/>
        <family val="0"/>
        <charset val="1"/>
      </rPr>
      <t xml:space="preserve">(data.json)</t>
    </r>
    <r>
      <rPr>
        <i val="true"/>
        <sz val="9"/>
        <color rgb="FF595959"/>
        <rFont val="Noto Sans CJK SC"/>
        <family val="2"/>
      </rPr>
      <t xml:space="preserve">에서 그동안 검증해온 확정 수치를 그대로 가져온 것입니다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</si>
  <si>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원화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로 표기된 항목은 </t>
    </r>
    <r>
      <rPr>
        <i val="true"/>
        <sz val="9"/>
        <color rgb="FF595959"/>
        <rFont val="Arial"/>
        <family val="0"/>
        <charset val="1"/>
      </rPr>
      <t xml:space="preserve">100</t>
    </r>
    <r>
      <rPr>
        <i val="true"/>
        <sz val="9"/>
        <color rgb="FF595959"/>
        <rFont val="Noto Sans CJK SC"/>
        <family val="2"/>
      </rPr>
      <t xml:space="preserve">엔</t>
    </r>
    <r>
      <rPr>
        <i val="true"/>
        <sz val="9"/>
        <color rgb="FF595959"/>
        <rFont val="Arial"/>
        <family val="0"/>
        <charset val="1"/>
      </rPr>
      <t xml:space="preserve">=890</t>
    </r>
    <r>
      <rPr>
        <i val="true"/>
        <sz val="9"/>
        <color rgb="FF595959"/>
        <rFont val="Noto Sans CJK SC"/>
        <family val="2"/>
      </rPr>
      <t xml:space="preserve">원 기준으로 엔화 환산해 표시했습니다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</si>
  <si>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※ 이 시트는 웹사이트</t>
    </r>
    <r>
      <rPr>
        <i val="true"/>
        <sz val="9"/>
        <color rgb="FF595959"/>
        <rFont val="Arial"/>
        <family val="0"/>
        <charset val="1"/>
      </rPr>
      <t xml:space="preserve">(data.json) </t>
    </r>
    <r>
      <rPr>
        <i val="true"/>
        <sz val="9"/>
        <color rgb="FF595959"/>
        <rFont val="Noto Sans CJK SC"/>
        <family val="2"/>
      </rPr>
      <t xml:space="preserve">내용을 그대로 미러링한 것으로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실제 편집은 관리자 페이지</t>
    </r>
    <r>
      <rPr>
        <i val="true"/>
        <sz val="9"/>
        <color rgb="FF595959"/>
        <rFont val="Arial"/>
        <family val="0"/>
        <charset val="1"/>
      </rPr>
      <t xml:space="preserve">(admin.html)</t>
    </r>
    <r>
      <rPr>
        <i val="true"/>
        <sz val="9"/>
        <color rgb="FF595959"/>
        <rFont val="Noto Sans CJK SC"/>
        <family val="2"/>
      </rPr>
      <t xml:space="preserve">에서 하고 이 파일은 다시 생성해서 갱신하는 방식을 권장합니다</t>
    </r>
    <r>
      <rPr>
        <i val="true"/>
        <sz val="9"/>
        <color rgb="FF59595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</si>
</sst>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Arial"/>
      <family val="0"/>
      <charset val="1"/>
    </font>
    <font>
      <b val="true"/>
      <sz val="9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E699"/>
        <bgColor rgb="FFFFCC99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1140400</v>
      </c>
      <c r="C2" s="4" t="s">
        <v>4</v>
      </c>
    </row>
    <row r="3" customFormat="false" ht="15" hidden="false" customHeight="false" outlineLevel="0" collapsed="false">
      <c r="A3" s="2" t="s">
        <v>5</v>
      </c>
      <c r="B3" s="3" t="n">
        <f aca="false">가계부!B7</f>
        <v>3570</v>
      </c>
      <c r="C3" s="4" t="s">
        <v>6</v>
      </c>
    </row>
    <row r="4" customFormat="false" ht="15" hidden="false" customHeight="false" outlineLevel="0" collapsed="false">
      <c r="A4" s="2" t="s">
        <v>7</v>
      </c>
      <c r="B4" s="5" t="n">
        <v>8.9</v>
      </c>
      <c r="C4" s="4" t="s">
        <v>8</v>
      </c>
    </row>
    <row r="5" customFormat="false" ht="17.15" hidden="false" customHeight="false" outlineLevel="0" collapsed="false">
      <c r="A5" s="6" t="s">
        <v>9</v>
      </c>
      <c r="B5" s="7" t="n">
        <v>3237611</v>
      </c>
      <c r="C5" s="6" t="s">
        <v>10</v>
      </c>
    </row>
    <row r="6" customFormat="false" ht="17.15" hidden="false" customHeight="false" outlineLevel="0" collapsed="false">
      <c r="A6" s="6" t="s">
        <v>11</v>
      </c>
      <c r="B6" s="7" t="n">
        <f aca="false">B5/2</f>
        <v>1618805.5</v>
      </c>
      <c r="C6" s="8" t="s">
        <v>12</v>
      </c>
    </row>
    <row r="8" customFormat="false" ht="26.85" hidden="false" customHeight="true" outlineLevel="0" collapsed="false">
      <c r="A8" s="9" t="s">
        <v>13</v>
      </c>
      <c r="B8" s="9"/>
      <c r="C8" s="9"/>
    </row>
    <row r="9" customFormat="false" ht="15" hidden="false" customHeight="true" outlineLevel="0" collapsed="false">
      <c r="A9" s="9" t="s">
        <v>14</v>
      </c>
      <c r="B9" s="9"/>
      <c r="C9" s="9"/>
    </row>
  </sheetData>
  <mergeCells count="2">
    <mergeCell ref="A8:C8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0" t="s">
        <v>15</v>
      </c>
      <c r="B1" s="10" t="s">
        <v>16</v>
      </c>
    </row>
    <row r="2" customFormat="false" ht="15" hidden="false" customHeight="false" outlineLevel="0" collapsed="false">
      <c r="A2" s="11" t="s">
        <v>17</v>
      </c>
      <c r="B2" s="3" t="n">
        <v>750</v>
      </c>
    </row>
    <row r="3" customFormat="false" ht="15" hidden="false" customHeight="false" outlineLevel="0" collapsed="false">
      <c r="A3" s="11" t="s">
        <v>18</v>
      </c>
      <c r="B3" s="3" t="n">
        <v>520</v>
      </c>
    </row>
    <row r="4" customFormat="false" ht="15" hidden="false" customHeight="false" outlineLevel="0" collapsed="false">
      <c r="A4" s="11" t="s">
        <v>19</v>
      </c>
      <c r="B4" s="3" t="n">
        <v>1000</v>
      </c>
    </row>
    <row r="5" customFormat="false" ht="15" hidden="false" customHeight="false" outlineLevel="0" collapsed="false">
      <c r="A5" s="11" t="s">
        <v>20</v>
      </c>
      <c r="B5" s="3" t="n">
        <v>700</v>
      </c>
    </row>
    <row r="6" customFormat="false" ht="15" hidden="false" customHeight="false" outlineLevel="0" collapsed="false">
      <c r="A6" s="11" t="s">
        <v>21</v>
      </c>
      <c r="B6" s="3" t="n">
        <v>600</v>
      </c>
    </row>
    <row r="7" customFormat="false" ht="15" hidden="false" customHeight="false" outlineLevel="0" collapsed="false">
      <c r="A7" s="6" t="s">
        <v>22</v>
      </c>
      <c r="B7" s="7" t="n">
        <f aca="false">SUM(B2:B6)</f>
        <v>3570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40"/>
    <col collapsed="false" customWidth="true" hidden="false" outlineLevel="0" max="13" min="13" style="0" width="10"/>
  </cols>
  <sheetData>
    <row r="1" customFormat="false" ht="25.5" hidden="false" customHeight="true" outlineLevel="0" collapsed="false">
      <c r="A1" s="12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34</v>
      </c>
      <c r="M1" s="13" t="s">
        <v>35</v>
      </c>
    </row>
    <row r="2" customFormat="false" ht="15" hidden="false" customHeight="false" outlineLevel="0" collapsed="false">
      <c r="A2" s="14" t="n">
        <v>1</v>
      </c>
      <c r="B2" s="14" t="s">
        <v>36</v>
      </c>
      <c r="C2" s="15" t="s">
        <v>37</v>
      </c>
      <c r="D2" s="14" t="s">
        <v>38</v>
      </c>
      <c r="E2" s="15" t="s">
        <v>39</v>
      </c>
      <c r="F2" s="16" t="s">
        <v>40</v>
      </c>
      <c r="G2" s="14"/>
      <c r="H2" s="17"/>
      <c r="I2" s="17"/>
      <c r="J2" s="14"/>
      <c r="K2" s="14"/>
      <c r="L2" s="16" t="s">
        <v>41</v>
      </c>
      <c r="M2" s="14" t="s">
        <v>12</v>
      </c>
    </row>
    <row r="3" customFormat="false" ht="15" hidden="false" customHeight="false" outlineLevel="0" collapsed="false">
      <c r="A3" s="14" t="n">
        <v>2</v>
      </c>
      <c r="B3" s="14"/>
      <c r="C3" s="14"/>
      <c r="D3" s="14" t="s">
        <v>42</v>
      </c>
      <c r="E3" s="15" t="s">
        <v>39</v>
      </c>
      <c r="F3" s="18" t="s">
        <v>43</v>
      </c>
      <c r="G3" s="14"/>
      <c r="H3" s="17"/>
      <c r="I3" s="17"/>
      <c r="J3" s="14"/>
      <c r="K3" s="14"/>
      <c r="L3" s="18" t="s">
        <v>44</v>
      </c>
      <c r="M3" s="14" t="s">
        <v>12</v>
      </c>
    </row>
    <row r="4" customFormat="false" ht="26.85" hidden="false" customHeight="false" outlineLevel="0" collapsed="false">
      <c r="A4" s="19" t="n">
        <v>3</v>
      </c>
      <c r="B4" s="19"/>
      <c r="C4" s="19"/>
      <c r="D4" s="19" t="s">
        <v>45</v>
      </c>
      <c r="E4" s="20" t="s">
        <v>46</v>
      </c>
      <c r="F4" s="21" t="s">
        <v>47</v>
      </c>
      <c r="G4" s="19" t="s">
        <v>48</v>
      </c>
      <c r="H4" s="22" t="n">
        <v>41030</v>
      </c>
      <c r="I4" s="22"/>
      <c r="J4" s="19"/>
      <c r="K4" s="20" t="s">
        <v>49</v>
      </c>
      <c r="L4" s="21" t="s">
        <v>50</v>
      </c>
      <c r="M4" s="20" t="s">
        <v>51</v>
      </c>
    </row>
    <row r="5" customFormat="false" ht="15" hidden="false" customHeight="false" outlineLevel="0" collapsed="false">
      <c r="A5" s="14" t="n">
        <v>4</v>
      </c>
      <c r="B5" s="14"/>
      <c r="C5" s="14"/>
      <c r="D5" s="14" t="s">
        <v>52</v>
      </c>
      <c r="E5" s="15" t="s">
        <v>39</v>
      </c>
      <c r="F5" s="18" t="s">
        <v>53</v>
      </c>
      <c r="G5" s="14"/>
      <c r="H5" s="17"/>
      <c r="I5" s="17"/>
      <c r="J5" s="14"/>
      <c r="K5" s="14"/>
      <c r="L5" s="16"/>
      <c r="M5" s="14" t="s">
        <v>12</v>
      </c>
    </row>
    <row r="6" customFormat="false" ht="15" hidden="false" customHeight="false" outlineLevel="0" collapsed="false">
      <c r="A6" s="23" t="n">
        <v>5</v>
      </c>
      <c r="B6" s="23"/>
      <c r="C6" s="23"/>
      <c r="D6" s="23" t="s">
        <v>54</v>
      </c>
      <c r="E6" s="24" t="s">
        <v>55</v>
      </c>
      <c r="F6" s="25" t="s">
        <v>56</v>
      </c>
      <c r="G6" s="24" t="s">
        <v>57</v>
      </c>
      <c r="H6" s="26" t="n">
        <v>2200</v>
      </c>
      <c r="I6" s="26"/>
      <c r="J6" s="23"/>
      <c r="K6" s="24" t="s">
        <v>58</v>
      </c>
      <c r="L6" s="25"/>
      <c r="M6" s="24" t="s">
        <v>59</v>
      </c>
    </row>
    <row r="7" customFormat="false" ht="15" hidden="false" customHeight="false" outlineLevel="0" collapsed="false">
      <c r="A7" s="19" t="n">
        <v>6</v>
      </c>
      <c r="B7" s="19"/>
      <c r="C7" s="19"/>
      <c r="D7" s="19" t="s">
        <v>60</v>
      </c>
      <c r="E7" s="20" t="s">
        <v>61</v>
      </c>
      <c r="F7" s="21" t="s">
        <v>62</v>
      </c>
      <c r="G7" s="20" t="s">
        <v>63</v>
      </c>
      <c r="H7" s="22" t="n">
        <v>620</v>
      </c>
      <c r="I7" s="22"/>
      <c r="J7" s="19"/>
      <c r="K7" s="20" t="s">
        <v>64</v>
      </c>
      <c r="L7" s="21"/>
      <c r="M7" s="20" t="s">
        <v>51</v>
      </c>
    </row>
    <row r="8" customFormat="false" ht="26.85" hidden="false" customHeight="false" outlineLevel="0" collapsed="false">
      <c r="A8" s="19" t="n">
        <v>7</v>
      </c>
      <c r="B8" s="19"/>
      <c r="C8" s="19"/>
      <c r="D8" s="19" t="s">
        <v>65</v>
      </c>
      <c r="E8" s="20" t="s">
        <v>61</v>
      </c>
      <c r="F8" s="21" t="s">
        <v>66</v>
      </c>
      <c r="G8" s="20" t="s">
        <v>67</v>
      </c>
      <c r="H8" s="22" t="n">
        <v>800</v>
      </c>
      <c r="I8" s="22"/>
      <c r="J8" s="19"/>
      <c r="K8" s="20" t="s">
        <v>68</v>
      </c>
      <c r="L8" s="27" t="s">
        <v>69</v>
      </c>
      <c r="M8" s="20" t="s">
        <v>51</v>
      </c>
    </row>
    <row r="9" customFormat="false" ht="15" hidden="false" customHeight="false" outlineLevel="0" collapsed="false">
      <c r="A9" s="23" t="n">
        <v>8</v>
      </c>
      <c r="B9" s="23"/>
      <c r="C9" s="23"/>
      <c r="D9" s="23" t="s">
        <v>70</v>
      </c>
      <c r="E9" s="24" t="s">
        <v>55</v>
      </c>
      <c r="F9" s="25" t="s">
        <v>71</v>
      </c>
      <c r="G9" s="24" t="s">
        <v>72</v>
      </c>
      <c r="H9" s="26" t="n">
        <v>3000</v>
      </c>
      <c r="I9" s="26"/>
      <c r="J9" s="23"/>
      <c r="K9" s="24" t="s">
        <v>73</v>
      </c>
      <c r="L9" s="25"/>
      <c r="M9" s="24" t="s">
        <v>59</v>
      </c>
    </row>
    <row r="10" customFormat="false" ht="24.6" hidden="false" customHeight="false" outlineLevel="0" collapsed="false">
      <c r="A10" s="19" t="n">
        <v>9</v>
      </c>
      <c r="B10" s="19"/>
      <c r="C10" s="19"/>
      <c r="D10" s="19" t="s">
        <v>74</v>
      </c>
      <c r="E10" s="20" t="s">
        <v>75</v>
      </c>
      <c r="F10" s="21" t="s">
        <v>76</v>
      </c>
      <c r="G10" s="19" t="s">
        <v>77</v>
      </c>
      <c r="H10" s="22" t="n">
        <v>11436</v>
      </c>
      <c r="I10" s="22"/>
      <c r="J10" s="19" t="s">
        <v>78</v>
      </c>
      <c r="K10" s="20" t="s">
        <v>79</v>
      </c>
      <c r="L10" s="21" t="s">
        <v>80</v>
      </c>
      <c r="M10" s="20" t="s">
        <v>51</v>
      </c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 t="s">
        <v>81</v>
      </c>
      <c r="G11" s="28"/>
      <c r="H11" s="29" t="n">
        <f aca="false">SUM(H2:H10)</f>
        <v>59086</v>
      </c>
      <c r="I11" s="29" t="n">
        <f aca="false">SUM(I2:I10)</f>
        <v>0</v>
      </c>
      <c r="J11" s="28"/>
      <c r="K11" s="28"/>
      <c r="L11" s="28"/>
      <c r="M11" s="28"/>
    </row>
    <row r="13" customFormat="false" ht="15" hidden="false" customHeight="false" outlineLevel="0" collapsed="false">
      <c r="A13" s="14" t="n">
        <v>1</v>
      </c>
      <c r="B13" s="14" t="s">
        <v>82</v>
      </c>
      <c r="C13" s="15" t="s">
        <v>83</v>
      </c>
      <c r="D13" s="14" t="s">
        <v>84</v>
      </c>
      <c r="E13" s="15" t="s">
        <v>39</v>
      </c>
      <c r="F13" s="18" t="s">
        <v>85</v>
      </c>
      <c r="G13" s="14"/>
      <c r="H13" s="17"/>
      <c r="I13" s="17"/>
      <c r="J13" s="14"/>
      <c r="K13" s="15" t="s">
        <v>79</v>
      </c>
      <c r="L13" s="18" t="s">
        <v>86</v>
      </c>
      <c r="M13" s="14" t="s">
        <v>12</v>
      </c>
    </row>
    <row r="14" customFormat="false" ht="15" hidden="false" customHeight="false" outlineLevel="0" collapsed="false">
      <c r="A14" s="19" t="n">
        <v>2</v>
      </c>
      <c r="B14" s="19"/>
      <c r="C14" s="19"/>
      <c r="D14" s="19" t="s">
        <v>87</v>
      </c>
      <c r="E14" s="20" t="s">
        <v>61</v>
      </c>
      <c r="F14" s="21" t="s">
        <v>88</v>
      </c>
      <c r="G14" s="20" t="s">
        <v>89</v>
      </c>
      <c r="H14" s="22" t="n">
        <v>2500</v>
      </c>
      <c r="I14" s="22"/>
      <c r="J14" s="19"/>
      <c r="K14" s="20" t="s">
        <v>90</v>
      </c>
      <c r="L14" s="21" t="s">
        <v>91</v>
      </c>
      <c r="M14" s="20" t="s">
        <v>51</v>
      </c>
    </row>
    <row r="15" customFormat="false" ht="15" hidden="false" customHeight="false" outlineLevel="0" collapsed="false">
      <c r="A15" s="14" t="n">
        <v>3</v>
      </c>
      <c r="B15" s="14"/>
      <c r="C15" s="14"/>
      <c r="D15" s="14" t="s">
        <v>92</v>
      </c>
      <c r="E15" s="15" t="s">
        <v>39</v>
      </c>
      <c r="F15" s="18" t="s">
        <v>93</v>
      </c>
      <c r="G15" s="14"/>
      <c r="H15" s="17"/>
      <c r="I15" s="17"/>
      <c r="J15" s="14"/>
      <c r="K15" s="14"/>
      <c r="L15" s="18" t="s">
        <v>94</v>
      </c>
      <c r="M15" s="14" t="s">
        <v>12</v>
      </c>
    </row>
    <row r="16" customFormat="false" ht="24.6" hidden="false" customHeight="false" outlineLevel="0" collapsed="false">
      <c r="A16" s="19" t="n">
        <v>4</v>
      </c>
      <c r="B16" s="19"/>
      <c r="C16" s="19"/>
      <c r="D16" s="19" t="s">
        <v>95</v>
      </c>
      <c r="E16" s="20" t="s">
        <v>61</v>
      </c>
      <c r="F16" s="21" t="s">
        <v>96</v>
      </c>
      <c r="G16" s="20" t="s">
        <v>97</v>
      </c>
      <c r="H16" s="22" t="n">
        <v>1400</v>
      </c>
      <c r="I16" s="22"/>
      <c r="J16" s="19" t="s">
        <v>98</v>
      </c>
      <c r="K16" s="20" t="s">
        <v>99</v>
      </c>
      <c r="L16" s="21" t="s">
        <v>100</v>
      </c>
      <c r="M16" s="20" t="s">
        <v>51</v>
      </c>
    </row>
    <row r="17" customFormat="false" ht="15" hidden="false" customHeight="false" outlineLevel="0" collapsed="false">
      <c r="A17" s="23" t="n">
        <v>5</v>
      </c>
      <c r="B17" s="23"/>
      <c r="C17" s="23"/>
      <c r="D17" s="23" t="s">
        <v>101</v>
      </c>
      <c r="E17" s="24" t="s">
        <v>55</v>
      </c>
      <c r="F17" s="25" t="s">
        <v>102</v>
      </c>
      <c r="G17" s="24" t="s">
        <v>103</v>
      </c>
      <c r="H17" s="26" t="n">
        <v>2000</v>
      </c>
      <c r="I17" s="26"/>
      <c r="J17" s="23"/>
      <c r="K17" s="24" t="s">
        <v>104</v>
      </c>
      <c r="L17" s="25"/>
      <c r="M17" s="24" t="s">
        <v>59</v>
      </c>
    </row>
    <row r="18" customFormat="false" ht="15" hidden="false" customHeight="false" outlineLevel="0" collapsed="false">
      <c r="A18" s="14" t="n">
        <v>6</v>
      </c>
      <c r="B18" s="14"/>
      <c r="C18" s="14"/>
      <c r="D18" s="14" t="s">
        <v>105</v>
      </c>
      <c r="E18" s="15" t="s">
        <v>39</v>
      </c>
      <c r="F18" s="18" t="s">
        <v>106</v>
      </c>
      <c r="G18" s="14"/>
      <c r="H18" s="17"/>
      <c r="I18" s="17"/>
      <c r="J18" s="14"/>
      <c r="K18" s="14"/>
      <c r="L18" s="18" t="s">
        <v>107</v>
      </c>
      <c r="M18" s="14" t="s">
        <v>12</v>
      </c>
    </row>
    <row r="19" customFormat="false" ht="15" hidden="false" customHeight="false" outlineLevel="0" collapsed="false">
      <c r="A19" s="14" t="n">
        <v>7</v>
      </c>
      <c r="B19" s="14"/>
      <c r="C19" s="14"/>
      <c r="D19" s="14" t="s">
        <v>108</v>
      </c>
      <c r="E19" s="15" t="s">
        <v>39</v>
      </c>
      <c r="F19" s="18" t="s">
        <v>109</v>
      </c>
      <c r="G19" s="14"/>
      <c r="H19" s="17"/>
      <c r="I19" s="17"/>
      <c r="J19" s="14"/>
      <c r="K19" s="15" t="s">
        <v>110</v>
      </c>
      <c r="L19" s="16"/>
      <c r="M19" s="14" t="s">
        <v>12</v>
      </c>
    </row>
    <row r="20" customFormat="false" ht="15" hidden="false" customHeight="false" outlineLevel="0" collapsed="false">
      <c r="A20" s="23" t="n">
        <v>8</v>
      </c>
      <c r="B20" s="23"/>
      <c r="C20" s="23"/>
      <c r="D20" s="23" t="s">
        <v>111</v>
      </c>
      <c r="E20" s="24" t="s">
        <v>55</v>
      </c>
      <c r="F20" s="25" t="s">
        <v>112</v>
      </c>
      <c r="G20" s="24" t="s">
        <v>113</v>
      </c>
      <c r="H20" s="26" t="n">
        <v>4000</v>
      </c>
      <c r="I20" s="26"/>
      <c r="J20" s="23"/>
      <c r="K20" s="24" t="s">
        <v>114</v>
      </c>
      <c r="L20" s="25" t="s">
        <v>115</v>
      </c>
      <c r="M20" s="24" t="s">
        <v>59</v>
      </c>
    </row>
    <row r="21" customFormat="false" ht="26.85" hidden="false" customHeight="false" outlineLevel="0" collapsed="false">
      <c r="A21" s="19" t="n">
        <v>9</v>
      </c>
      <c r="B21" s="19"/>
      <c r="C21" s="19"/>
      <c r="D21" s="19" t="s">
        <v>116</v>
      </c>
      <c r="E21" s="20" t="s">
        <v>75</v>
      </c>
      <c r="F21" s="21" t="s">
        <v>117</v>
      </c>
      <c r="G21" s="19"/>
      <c r="H21" s="22" t="n">
        <v>17727</v>
      </c>
      <c r="I21" s="22"/>
      <c r="J21" s="19"/>
      <c r="K21" s="20" t="s">
        <v>110</v>
      </c>
      <c r="L21" s="21" t="s">
        <v>118</v>
      </c>
      <c r="M21" s="20" t="s">
        <v>51</v>
      </c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 t="s">
        <v>119</v>
      </c>
      <c r="G22" s="28"/>
      <c r="H22" s="29" t="n">
        <f aca="false">SUM(H13:H21)</f>
        <v>27627</v>
      </c>
      <c r="I22" s="29" t="n">
        <f aca="false">SUM(I13:I21)</f>
        <v>0</v>
      </c>
      <c r="J22" s="28"/>
      <c r="K22" s="28"/>
      <c r="L22" s="28"/>
      <c r="M22" s="28"/>
    </row>
    <row r="24" customFormat="false" ht="15" hidden="false" customHeight="false" outlineLevel="0" collapsed="false">
      <c r="A24" s="14" t="n">
        <v>1</v>
      </c>
      <c r="B24" s="14" t="s">
        <v>120</v>
      </c>
      <c r="C24" s="15" t="s">
        <v>121</v>
      </c>
      <c r="D24" s="15" t="s">
        <v>122</v>
      </c>
      <c r="E24" s="15" t="s">
        <v>39</v>
      </c>
      <c r="F24" s="18" t="s">
        <v>123</v>
      </c>
      <c r="G24" s="14"/>
      <c r="H24" s="17"/>
      <c r="I24" s="17"/>
      <c r="J24" s="14"/>
      <c r="K24" s="15" t="s">
        <v>110</v>
      </c>
      <c r="L24" s="16"/>
      <c r="M24" s="14" t="s">
        <v>12</v>
      </c>
    </row>
    <row r="25" customFormat="false" ht="26.85" hidden="false" customHeight="false" outlineLevel="0" collapsed="false">
      <c r="A25" s="19" t="n">
        <v>2</v>
      </c>
      <c r="B25" s="19"/>
      <c r="C25" s="19"/>
      <c r="D25" s="19" t="s">
        <v>124</v>
      </c>
      <c r="E25" s="20" t="s">
        <v>61</v>
      </c>
      <c r="F25" s="21" t="s">
        <v>125</v>
      </c>
      <c r="G25" s="20" t="s">
        <v>113</v>
      </c>
      <c r="H25" s="22" t="n">
        <v>1500</v>
      </c>
      <c r="I25" s="22"/>
      <c r="J25" s="19"/>
      <c r="K25" s="20" t="s">
        <v>126</v>
      </c>
      <c r="L25" s="21" t="s">
        <v>127</v>
      </c>
      <c r="M25" s="20" t="s">
        <v>51</v>
      </c>
    </row>
    <row r="26" customFormat="false" ht="15" hidden="false" customHeight="false" outlineLevel="0" collapsed="false">
      <c r="A26" s="19" t="n">
        <v>3</v>
      </c>
      <c r="B26" s="19"/>
      <c r="C26" s="19"/>
      <c r="D26" s="19" t="s">
        <v>84</v>
      </c>
      <c r="E26" s="20" t="s">
        <v>61</v>
      </c>
      <c r="F26" s="21" t="s">
        <v>128</v>
      </c>
      <c r="G26" s="20" t="s">
        <v>129</v>
      </c>
      <c r="H26" s="22"/>
      <c r="I26" s="22"/>
      <c r="J26" s="19"/>
      <c r="K26" s="20" t="s">
        <v>130</v>
      </c>
      <c r="L26" s="21" t="s">
        <v>131</v>
      </c>
      <c r="M26" s="20" t="s">
        <v>51</v>
      </c>
    </row>
    <row r="27" customFormat="false" ht="15" hidden="false" customHeight="false" outlineLevel="0" collapsed="false">
      <c r="A27" s="23" t="n">
        <v>4</v>
      </c>
      <c r="B27" s="23"/>
      <c r="C27" s="23"/>
      <c r="D27" s="23" t="s">
        <v>132</v>
      </c>
      <c r="E27" s="24" t="s">
        <v>55</v>
      </c>
      <c r="F27" s="25" t="s">
        <v>133</v>
      </c>
      <c r="G27" s="23"/>
      <c r="H27" s="26" t="n">
        <v>2500</v>
      </c>
      <c r="I27" s="26"/>
      <c r="J27" s="23"/>
      <c r="K27" s="24" t="s">
        <v>134</v>
      </c>
      <c r="L27" s="25" t="s">
        <v>135</v>
      </c>
      <c r="M27" s="24" t="s">
        <v>59</v>
      </c>
    </row>
    <row r="28" customFormat="false" ht="15" hidden="false" customHeight="false" outlineLevel="0" collapsed="false">
      <c r="A28" s="14" t="n">
        <v>5</v>
      </c>
      <c r="B28" s="14"/>
      <c r="C28" s="14"/>
      <c r="D28" s="14" t="s">
        <v>136</v>
      </c>
      <c r="E28" s="15" t="s">
        <v>39</v>
      </c>
      <c r="F28" s="18" t="s">
        <v>137</v>
      </c>
      <c r="G28" s="14"/>
      <c r="H28" s="17"/>
      <c r="I28" s="17"/>
      <c r="J28" s="14"/>
      <c r="K28" s="14"/>
      <c r="L28" s="18" t="s">
        <v>138</v>
      </c>
      <c r="M28" s="14" t="s">
        <v>12</v>
      </c>
    </row>
    <row r="29" customFormat="false" ht="15" hidden="false" customHeight="false" outlineLevel="0" collapsed="false">
      <c r="A29" s="14" t="n">
        <v>6</v>
      </c>
      <c r="B29" s="14"/>
      <c r="C29" s="14"/>
      <c r="D29" s="14" t="s">
        <v>139</v>
      </c>
      <c r="E29" s="15" t="s">
        <v>39</v>
      </c>
      <c r="F29" s="18" t="s">
        <v>140</v>
      </c>
      <c r="G29" s="14"/>
      <c r="H29" s="17"/>
      <c r="I29" s="17"/>
      <c r="J29" s="14"/>
      <c r="K29" s="15" t="s">
        <v>141</v>
      </c>
      <c r="L29" s="16"/>
      <c r="M29" s="14" t="s">
        <v>12</v>
      </c>
    </row>
    <row r="30" customFormat="false" ht="15" hidden="false" customHeight="false" outlineLevel="0" collapsed="false">
      <c r="A30" s="14" t="n">
        <v>7</v>
      </c>
      <c r="B30" s="14"/>
      <c r="C30" s="14"/>
      <c r="D30" s="14" t="s">
        <v>142</v>
      </c>
      <c r="E30" s="15" t="s">
        <v>61</v>
      </c>
      <c r="F30" s="18" t="s">
        <v>143</v>
      </c>
      <c r="G30" s="14"/>
      <c r="H30" s="17"/>
      <c r="I30" s="17"/>
      <c r="J30" s="14"/>
      <c r="K30" s="15" t="s">
        <v>144</v>
      </c>
      <c r="L30" s="16"/>
      <c r="M30" s="14" t="s">
        <v>12</v>
      </c>
    </row>
    <row r="31" customFormat="false" ht="26.85" hidden="false" customHeight="false" outlineLevel="0" collapsed="false">
      <c r="A31" s="19" t="n">
        <v>8</v>
      </c>
      <c r="B31" s="19"/>
      <c r="C31" s="19"/>
      <c r="D31" s="19" t="s">
        <v>145</v>
      </c>
      <c r="E31" s="20" t="s">
        <v>55</v>
      </c>
      <c r="F31" s="21" t="s">
        <v>146</v>
      </c>
      <c r="G31" s="20" t="s">
        <v>147</v>
      </c>
      <c r="H31" s="22" t="n">
        <v>6500</v>
      </c>
      <c r="I31" s="22"/>
      <c r="J31" s="19"/>
      <c r="K31" s="20" t="s">
        <v>148</v>
      </c>
      <c r="L31" s="21" t="s">
        <v>149</v>
      </c>
      <c r="M31" s="20" t="s">
        <v>51</v>
      </c>
    </row>
    <row r="32" customFormat="false" ht="15" hidden="false" customHeight="false" outlineLevel="0" collapsed="false">
      <c r="A32" s="19" t="n">
        <v>9</v>
      </c>
      <c r="B32" s="19"/>
      <c r="C32" s="19"/>
      <c r="D32" s="19" t="s">
        <v>150</v>
      </c>
      <c r="E32" s="20" t="s">
        <v>75</v>
      </c>
      <c r="F32" s="21" t="s">
        <v>151</v>
      </c>
      <c r="G32" s="19" t="s">
        <v>152</v>
      </c>
      <c r="H32" s="22" t="n">
        <v>13572.58</v>
      </c>
      <c r="I32" s="22"/>
      <c r="J32" s="19"/>
      <c r="K32" s="20" t="s">
        <v>141</v>
      </c>
      <c r="L32" s="21" t="s">
        <v>153</v>
      </c>
      <c r="M32" s="20" t="s">
        <v>51</v>
      </c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28" t="s">
        <v>154</v>
      </c>
      <c r="G33" s="28"/>
      <c r="H33" s="29" t="n">
        <f aca="false">SUM(H24:H32)</f>
        <v>24072.58</v>
      </c>
      <c r="I33" s="29" t="n">
        <f aca="false">SUM(I24:I32)</f>
        <v>0</v>
      </c>
      <c r="J33" s="28"/>
      <c r="K33" s="28"/>
      <c r="L33" s="28"/>
      <c r="M33" s="28"/>
    </row>
    <row r="35" customFormat="false" ht="15" hidden="false" customHeight="false" outlineLevel="0" collapsed="false">
      <c r="A35" s="14" t="n">
        <v>1</v>
      </c>
      <c r="B35" s="14" t="s">
        <v>155</v>
      </c>
      <c r="C35" s="15" t="s">
        <v>156</v>
      </c>
      <c r="D35" s="15" t="s">
        <v>157</v>
      </c>
      <c r="E35" s="15" t="s">
        <v>39</v>
      </c>
      <c r="F35" s="18" t="s">
        <v>158</v>
      </c>
      <c r="G35" s="14"/>
      <c r="H35" s="17"/>
      <c r="I35" s="17"/>
      <c r="J35" s="14"/>
      <c r="K35" s="15" t="s">
        <v>141</v>
      </c>
      <c r="L35" s="16"/>
      <c r="M35" s="14" t="s">
        <v>12</v>
      </c>
    </row>
    <row r="36" customFormat="false" ht="26.85" hidden="false" customHeight="false" outlineLevel="0" collapsed="false">
      <c r="A36" s="23" t="n">
        <v>2</v>
      </c>
      <c r="B36" s="23"/>
      <c r="C36" s="23"/>
      <c r="D36" s="23" t="s">
        <v>87</v>
      </c>
      <c r="E36" s="24" t="s">
        <v>61</v>
      </c>
      <c r="F36" s="25" t="s">
        <v>159</v>
      </c>
      <c r="G36" s="24" t="s">
        <v>160</v>
      </c>
      <c r="H36" s="26" t="n">
        <v>2500</v>
      </c>
      <c r="I36" s="26"/>
      <c r="J36" s="23" t="s">
        <v>161</v>
      </c>
      <c r="K36" s="24" t="s">
        <v>162</v>
      </c>
      <c r="L36" s="25" t="s">
        <v>163</v>
      </c>
      <c r="M36" s="24" t="s">
        <v>59</v>
      </c>
    </row>
    <row r="37" customFormat="false" ht="26.85" hidden="false" customHeight="false" outlineLevel="0" collapsed="false">
      <c r="A37" s="19" t="n">
        <v>3</v>
      </c>
      <c r="B37" s="19"/>
      <c r="C37" s="19"/>
      <c r="D37" s="19" t="s">
        <v>164</v>
      </c>
      <c r="E37" s="20" t="s">
        <v>55</v>
      </c>
      <c r="F37" s="21" t="s">
        <v>165</v>
      </c>
      <c r="G37" s="20" t="s">
        <v>166</v>
      </c>
      <c r="H37" s="22" t="n">
        <v>1500</v>
      </c>
      <c r="I37" s="22"/>
      <c r="J37" s="19"/>
      <c r="K37" s="20" t="s">
        <v>167</v>
      </c>
      <c r="L37" s="21" t="s">
        <v>168</v>
      </c>
      <c r="M37" s="20" t="s">
        <v>51</v>
      </c>
    </row>
    <row r="38" customFormat="false" ht="15" hidden="false" customHeight="false" outlineLevel="0" collapsed="false">
      <c r="A38" s="14" t="n">
        <v>4</v>
      </c>
      <c r="B38" s="14"/>
      <c r="C38" s="14"/>
      <c r="D38" s="14" t="s">
        <v>169</v>
      </c>
      <c r="E38" s="15" t="s">
        <v>170</v>
      </c>
      <c r="F38" s="18" t="s">
        <v>171</v>
      </c>
      <c r="G38" s="14"/>
      <c r="H38" s="17" t="n">
        <v>1500</v>
      </c>
      <c r="I38" s="17"/>
      <c r="J38" s="14"/>
      <c r="K38" s="14"/>
      <c r="L38" s="18" t="s">
        <v>172</v>
      </c>
      <c r="M38" s="14" t="s">
        <v>12</v>
      </c>
    </row>
    <row r="39" customFormat="false" ht="26.85" hidden="false" customHeight="false" outlineLevel="0" collapsed="false">
      <c r="A39" s="23" t="n">
        <v>5</v>
      </c>
      <c r="B39" s="23"/>
      <c r="C39" s="23"/>
      <c r="D39" s="23" t="s">
        <v>173</v>
      </c>
      <c r="E39" s="24" t="s">
        <v>61</v>
      </c>
      <c r="F39" s="25" t="s">
        <v>174</v>
      </c>
      <c r="G39" s="24" t="s">
        <v>175</v>
      </c>
      <c r="H39" s="26"/>
      <c r="I39" s="26"/>
      <c r="J39" s="23"/>
      <c r="K39" s="24" t="s">
        <v>176</v>
      </c>
      <c r="L39" s="25" t="s">
        <v>177</v>
      </c>
      <c r="M39" s="24" t="s">
        <v>59</v>
      </c>
    </row>
    <row r="40" customFormat="false" ht="35.05" hidden="false" customHeight="false" outlineLevel="0" collapsed="false">
      <c r="A40" s="19" t="n">
        <v>6</v>
      </c>
      <c r="B40" s="19"/>
      <c r="C40" s="19"/>
      <c r="D40" s="19" t="s">
        <v>178</v>
      </c>
      <c r="E40" s="20" t="s">
        <v>61</v>
      </c>
      <c r="F40" s="21" t="s">
        <v>179</v>
      </c>
      <c r="G40" s="20" t="s">
        <v>180</v>
      </c>
      <c r="H40" s="22"/>
      <c r="I40" s="22"/>
      <c r="J40" s="19"/>
      <c r="K40" s="20" t="s">
        <v>181</v>
      </c>
      <c r="L40" s="21" t="s">
        <v>182</v>
      </c>
      <c r="M40" s="20" t="s">
        <v>51</v>
      </c>
    </row>
    <row r="41" customFormat="false" ht="15" hidden="false" customHeight="false" outlineLevel="0" collapsed="false">
      <c r="A41" s="14" t="n">
        <v>7</v>
      </c>
      <c r="B41" s="14"/>
      <c r="C41" s="14"/>
      <c r="D41" s="14" t="s">
        <v>183</v>
      </c>
      <c r="E41" s="15" t="s">
        <v>39</v>
      </c>
      <c r="F41" s="18" t="s">
        <v>184</v>
      </c>
      <c r="G41" s="14"/>
      <c r="H41" s="17"/>
      <c r="I41" s="17"/>
      <c r="J41" s="14"/>
      <c r="K41" s="15" t="s">
        <v>185</v>
      </c>
      <c r="L41" s="18" t="s">
        <v>186</v>
      </c>
      <c r="M41" s="14" t="s">
        <v>12</v>
      </c>
    </row>
    <row r="42" customFormat="false" ht="39.55" hidden="false" customHeight="false" outlineLevel="0" collapsed="false">
      <c r="A42" s="19" t="n">
        <v>8</v>
      </c>
      <c r="B42" s="19"/>
      <c r="C42" s="19"/>
      <c r="D42" s="19" t="s">
        <v>187</v>
      </c>
      <c r="E42" s="20" t="s">
        <v>75</v>
      </c>
      <c r="F42" s="21" t="s">
        <v>188</v>
      </c>
      <c r="G42" s="19"/>
      <c r="H42" s="22" t="n">
        <v>25220.9</v>
      </c>
      <c r="I42" s="22"/>
      <c r="J42" s="19"/>
      <c r="K42" s="20" t="s">
        <v>185</v>
      </c>
      <c r="L42" s="21" t="s">
        <v>189</v>
      </c>
      <c r="M42" s="20" t="s">
        <v>51</v>
      </c>
    </row>
    <row r="43" customFormat="false" ht="15" hidden="false" customHeight="false" outlineLevel="0" collapsed="false">
      <c r="A43" s="28"/>
      <c r="B43" s="28"/>
      <c r="C43" s="28"/>
      <c r="D43" s="28"/>
      <c r="E43" s="28"/>
      <c r="F43" s="28" t="s">
        <v>190</v>
      </c>
      <c r="G43" s="28"/>
      <c r="H43" s="29" t="n">
        <f aca="false">SUM(H35:H42)</f>
        <v>30720.9</v>
      </c>
      <c r="I43" s="29" t="n">
        <f aca="false">SUM(I35:I42)</f>
        <v>0</v>
      </c>
      <c r="J43" s="28"/>
      <c r="K43" s="28"/>
      <c r="L43" s="28"/>
      <c r="M43" s="28"/>
    </row>
    <row r="45" customFormat="false" ht="15" hidden="false" customHeight="false" outlineLevel="0" collapsed="false">
      <c r="A45" s="19" t="n">
        <v>1</v>
      </c>
      <c r="B45" s="19" t="s">
        <v>191</v>
      </c>
      <c r="C45" s="20" t="s">
        <v>192</v>
      </c>
      <c r="D45" s="19" t="s">
        <v>193</v>
      </c>
      <c r="E45" s="20" t="s">
        <v>61</v>
      </c>
      <c r="F45" s="21" t="s">
        <v>194</v>
      </c>
      <c r="G45" s="20" t="s">
        <v>195</v>
      </c>
      <c r="H45" s="22" t="n">
        <v>1</v>
      </c>
      <c r="I45" s="22"/>
      <c r="J45" s="19"/>
      <c r="K45" s="20" t="s">
        <v>185</v>
      </c>
      <c r="L45" s="21" t="s">
        <v>196</v>
      </c>
      <c r="M45" s="20" t="s">
        <v>51</v>
      </c>
    </row>
    <row r="46" customFormat="false" ht="15" hidden="false" customHeight="false" outlineLevel="0" collapsed="false">
      <c r="A46" s="14" t="n">
        <v>2</v>
      </c>
      <c r="B46" s="14"/>
      <c r="C46" s="14"/>
      <c r="D46" s="14" t="s">
        <v>92</v>
      </c>
      <c r="E46" s="15" t="s">
        <v>170</v>
      </c>
      <c r="F46" s="18" t="s">
        <v>197</v>
      </c>
      <c r="G46" s="14"/>
      <c r="H46" s="17" t="n">
        <v>3000</v>
      </c>
      <c r="I46" s="17"/>
      <c r="J46" s="14"/>
      <c r="K46" s="14"/>
      <c r="L46" s="18" t="s">
        <v>198</v>
      </c>
      <c r="M46" s="14" t="s">
        <v>12</v>
      </c>
    </row>
    <row r="47" customFormat="false" ht="26.85" hidden="false" customHeight="false" outlineLevel="0" collapsed="false">
      <c r="A47" s="23" t="n">
        <v>3</v>
      </c>
      <c r="B47" s="23"/>
      <c r="C47" s="23"/>
      <c r="D47" s="23" t="s">
        <v>52</v>
      </c>
      <c r="E47" s="24" t="s">
        <v>55</v>
      </c>
      <c r="F47" s="25" t="s">
        <v>199</v>
      </c>
      <c r="G47" s="24" t="s">
        <v>200</v>
      </c>
      <c r="H47" s="26" t="n">
        <v>2200</v>
      </c>
      <c r="I47" s="26"/>
      <c r="J47" s="23"/>
      <c r="K47" s="24" t="s">
        <v>201</v>
      </c>
      <c r="L47" s="25" t="s">
        <v>202</v>
      </c>
      <c r="M47" s="24" t="s">
        <v>59</v>
      </c>
    </row>
    <row r="48" customFormat="false" ht="15" hidden="false" customHeight="false" outlineLevel="0" collapsed="false">
      <c r="A48" s="14" t="n">
        <v>4</v>
      </c>
      <c r="B48" s="14"/>
      <c r="C48" s="14"/>
      <c r="D48" s="14" t="s">
        <v>203</v>
      </c>
      <c r="E48" s="15" t="s">
        <v>61</v>
      </c>
      <c r="F48" s="18" t="s">
        <v>204</v>
      </c>
      <c r="G48" s="15" t="s">
        <v>205</v>
      </c>
      <c r="H48" s="17"/>
      <c r="I48" s="17"/>
      <c r="J48" s="14"/>
      <c r="K48" s="15" t="s">
        <v>206</v>
      </c>
      <c r="L48" s="18" t="s">
        <v>207</v>
      </c>
      <c r="M48" s="14" t="s">
        <v>12</v>
      </c>
    </row>
    <row r="49" customFormat="false" ht="15" hidden="false" customHeight="false" outlineLevel="0" collapsed="false">
      <c r="A49" s="14" t="n">
        <v>5</v>
      </c>
      <c r="B49" s="14"/>
      <c r="C49" s="14"/>
      <c r="D49" s="14" t="s">
        <v>208</v>
      </c>
      <c r="E49" s="15" t="s">
        <v>39</v>
      </c>
      <c r="F49" s="18" t="s">
        <v>209</v>
      </c>
      <c r="G49" s="14"/>
      <c r="H49" s="17"/>
      <c r="I49" s="17"/>
      <c r="J49" s="14"/>
      <c r="K49" s="15" t="s">
        <v>210</v>
      </c>
      <c r="L49" s="16"/>
      <c r="M49" s="14" t="s">
        <v>12</v>
      </c>
    </row>
    <row r="50" customFormat="false" ht="26.85" hidden="false" customHeight="false" outlineLevel="0" collapsed="false">
      <c r="A50" s="14" t="n">
        <v>6</v>
      </c>
      <c r="B50" s="14"/>
      <c r="C50" s="14"/>
      <c r="D50" s="14" t="s">
        <v>70</v>
      </c>
      <c r="E50" s="15" t="s">
        <v>55</v>
      </c>
      <c r="F50" s="18" t="s">
        <v>211</v>
      </c>
      <c r="G50" s="14"/>
      <c r="H50" s="17" t="n">
        <v>3000</v>
      </c>
      <c r="I50" s="17"/>
      <c r="J50" s="14"/>
      <c r="K50" s="15" t="s">
        <v>212</v>
      </c>
      <c r="L50" s="18" t="s">
        <v>213</v>
      </c>
      <c r="M50" s="14" t="s">
        <v>12</v>
      </c>
    </row>
    <row r="51" customFormat="false" ht="15" hidden="false" customHeight="false" outlineLevel="0" collapsed="false">
      <c r="A51" s="19" t="n">
        <v>7</v>
      </c>
      <c r="B51" s="19"/>
      <c r="C51" s="19"/>
      <c r="D51" s="19" t="s">
        <v>74</v>
      </c>
      <c r="E51" s="20" t="s">
        <v>75</v>
      </c>
      <c r="F51" s="21" t="s">
        <v>214</v>
      </c>
      <c r="G51" s="19" t="s">
        <v>152</v>
      </c>
      <c r="H51" s="22" t="n">
        <v>19953.82</v>
      </c>
      <c r="I51" s="22"/>
      <c r="J51" s="19"/>
      <c r="K51" s="20" t="s">
        <v>210</v>
      </c>
      <c r="L51" s="21" t="s">
        <v>215</v>
      </c>
      <c r="M51" s="20" t="s">
        <v>51</v>
      </c>
    </row>
    <row r="52" customFormat="false" ht="15" hidden="false" customHeight="false" outlineLevel="0" collapsed="false">
      <c r="A52" s="28"/>
      <c r="B52" s="28"/>
      <c r="C52" s="28"/>
      <c r="D52" s="28"/>
      <c r="E52" s="28"/>
      <c r="F52" s="28" t="s">
        <v>216</v>
      </c>
      <c r="G52" s="28"/>
      <c r="H52" s="29" t="n">
        <f aca="false">SUM(H45:H51)</f>
        <v>28154.82</v>
      </c>
      <c r="I52" s="29" t="n">
        <f aca="false">SUM(I45:I51)</f>
        <v>0</v>
      </c>
      <c r="J52" s="28"/>
      <c r="K52" s="28"/>
      <c r="L52" s="28"/>
      <c r="M52" s="28"/>
    </row>
    <row r="54" customFormat="false" ht="15" hidden="false" customHeight="false" outlineLevel="0" collapsed="false">
      <c r="A54" s="14" t="n">
        <v>1</v>
      </c>
      <c r="B54" s="14" t="s">
        <v>217</v>
      </c>
      <c r="C54" s="15" t="s">
        <v>218</v>
      </c>
      <c r="D54" s="14" t="s">
        <v>219</v>
      </c>
      <c r="E54" s="15" t="s">
        <v>39</v>
      </c>
      <c r="F54" s="18" t="s">
        <v>220</v>
      </c>
      <c r="G54" s="14"/>
      <c r="H54" s="17"/>
      <c r="I54" s="17"/>
      <c r="J54" s="14"/>
      <c r="K54" s="15" t="s">
        <v>210</v>
      </c>
      <c r="L54" s="18" t="s">
        <v>221</v>
      </c>
      <c r="M54" s="14" t="s">
        <v>12</v>
      </c>
    </row>
    <row r="55" customFormat="false" ht="26.85" hidden="false" customHeight="false" outlineLevel="0" collapsed="false">
      <c r="A55" s="19" t="n">
        <v>2</v>
      </c>
      <c r="B55" s="19"/>
      <c r="C55" s="19"/>
      <c r="D55" s="19" t="s">
        <v>222</v>
      </c>
      <c r="E55" s="20" t="s">
        <v>46</v>
      </c>
      <c r="F55" s="21" t="s">
        <v>223</v>
      </c>
      <c r="G55" s="19"/>
      <c r="H55" s="22" t="n">
        <v>1500</v>
      </c>
      <c r="I55" s="22"/>
      <c r="J55" s="19"/>
      <c r="K55" s="20" t="s">
        <v>224</v>
      </c>
      <c r="L55" s="21" t="s">
        <v>225</v>
      </c>
      <c r="M55" s="20" t="s">
        <v>51</v>
      </c>
    </row>
    <row r="56" customFormat="false" ht="15" hidden="false" customHeight="false" outlineLevel="0" collapsed="false">
      <c r="A56" s="19" t="n">
        <v>3</v>
      </c>
      <c r="B56" s="19"/>
      <c r="C56" s="19"/>
      <c r="D56" s="19" t="s">
        <v>226</v>
      </c>
      <c r="E56" s="20" t="s">
        <v>227</v>
      </c>
      <c r="F56" s="21" t="s">
        <v>228</v>
      </c>
      <c r="G56" s="20" t="s">
        <v>229</v>
      </c>
      <c r="H56" s="22" t="n">
        <v>1000</v>
      </c>
      <c r="I56" s="22"/>
      <c r="J56" s="19"/>
      <c r="K56" s="19"/>
      <c r="L56" s="21" t="s">
        <v>230</v>
      </c>
      <c r="M56" s="20" t="s">
        <v>51</v>
      </c>
    </row>
    <row r="57" customFormat="false" ht="15" hidden="false" customHeight="false" outlineLevel="0" collapsed="false">
      <c r="A57" s="14" t="n">
        <v>4</v>
      </c>
      <c r="B57" s="14"/>
      <c r="C57" s="14"/>
      <c r="D57" s="14" t="s">
        <v>231</v>
      </c>
      <c r="E57" s="15" t="s">
        <v>39</v>
      </c>
      <c r="F57" s="16" t="s">
        <v>232</v>
      </c>
      <c r="G57" s="14"/>
      <c r="H57" s="17"/>
      <c r="I57" s="17"/>
      <c r="J57" s="14"/>
      <c r="K57" s="14"/>
      <c r="L57" s="18" t="s">
        <v>233</v>
      </c>
      <c r="M57" s="14" t="s">
        <v>12</v>
      </c>
    </row>
    <row r="58" customFormat="false" ht="15" hidden="false" customHeight="false" outlineLevel="0" collapsed="false">
      <c r="A58" s="28"/>
      <c r="B58" s="28"/>
      <c r="C58" s="28"/>
      <c r="D58" s="28"/>
      <c r="E58" s="28"/>
      <c r="F58" s="28" t="s">
        <v>234</v>
      </c>
      <c r="G58" s="28"/>
      <c r="H58" s="29" t="n">
        <f aca="false">SUM(H54:H57)</f>
        <v>2500</v>
      </c>
      <c r="I58" s="29" t="n">
        <f aca="false">SUM(I54:I57)</f>
        <v>0</v>
      </c>
      <c r="J58" s="28"/>
      <c r="K58" s="28"/>
      <c r="L58" s="28"/>
      <c r="M58" s="28"/>
    </row>
    <row r="60" customFormat="false" ht="17.15" hidden="false" customHeight="false" outlineLevel="0" collapsed="false">
      <c r="A60" s="6"/>
      <c r="B60" s="6"/>
      <c r="C60" s="6"/>
      <c r="D60" s="6"/>
      <c r="E60" s="6"/>
      <c r="F60" s="6" t="s">
        <v>235</v>
      </c>
      <c r="G60" s="6"/>
      <c r="H60" s="7" t="n">
        <f aca="false">H11+H22+H33+H43+H52+H58</f>
        <v>172161.3</v>
      </c>
      <c r="I60" s="7" t="n">
        <f aca="false">I11+I22+I33+I43+I52+I58</f>
        <v>0</v>
      </c>
      <c r="J60" s="6"/>
      <c r="K60" s="6"/>
      <c r="L60" s="6"/>
      <c r="M60" s="6"/>
    </row>
    <row r="62" customFormat="false" ht="15" hidden="false" customHeight="false" outlineLevel="0" collapsed="false">
      <c r="A62" s="30" t="s">
        <v>236</v>
      </c>
      <c r="B62" s="31" t="s">
        <v>237</v>
      </c>
      <c r="D62" s="32" t="s">
        <v>238</v>
      </c>
    </row>
    <row r="64" customFormat="false" ht="15" hidden="false" customHeight="true" outlineLevel="0" collapsed="false">
      <c r="A64" s="33" t="s">
        <v>239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customFormat="false" ht="15" hidden="false" customHeight="true" outlineLevel="0" collapsed="false">
      <c r="A65" s="33" t="s">
        <v>240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customFormat="false" ht="15" hidden="false" customHeight="true" outlineLevel="0" collapsed="false">
      <c r="A66" s="9" t="s">
        <v>241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customFormat="false" ht="15" hidden="false" customHeight="true" outlineLevel="0" collapsed="false">
      <c r="A67" s="9" t="s">
        <v>242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customFormat="false" ht="15" hidden="false" customHeight="true" outlineLevel="0" collapsed="false">
      <c r="A68" s="9" t="s">
        <v>14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</sheetData>
  <mergeCells count="5">
    <mergeCell ref="A64:M64"/>
    <mergeCell ref="A65:M65"/>
    <mergeCell ref="A66:M66"/>
    <mergeCell ref="A67:M67"/>
    <mergeCell ref="A68:M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2026-08-05T05:09:17Z</dcterms:created>
  <dc:creator>openpyxl</dc:creator>
  <dc:description/>
  <dc:language>en-US</dc:language>
  <cp:lastModifiedBy/>
  <dcterms:modified xsi:type="dcterms:W3CDTF">2026-08-05T05:09:17Z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